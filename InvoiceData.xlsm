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filterPrivacy="1" codeName="ThisWorkbook"/>
  <xr:revisionPtr revIDLastSave="0" documentId="13_ncr:1_{218D90D2-ABCE-4833-AC03-A27A7A22A123}" xr6:coauthVersionLast="47" xr6:coauthVersionMax="47" xr10:uidLastSave="{00000000-0000-0000-0000-000000000000}"/>
  <bookViews>
    <workbookView xWindow="-108" yWindow="-108" windowWidth="23256" windowHeight="12456" tabRatio="1000" activeTab="7" xr2:uid="{00000000-000D-0000-FFFF-FFFF00000000}"/>
  </bookViews>
  <sheets>
    <sheet name="InvoiceTracker" sheetId="1" r:id="rId1"/>
    <sheet name="ItemInvoiceTracker" sheetId="3" r:id="rId2"/>
    <sheet name="Data" sheetId="6" r:id="rId3"/>
    <sheet name="Carry" sheetId="7" r:id="rId4"/>
    <sheet name="CancelledBill-Invoice" sheetId="13" r:id="rId5"/>
    <sheet name="CancelledBill-Item" sheetId="4" r:id="rId6"/>
    <sheet name="Next" sheetId="2" r:id="rId7"/>
    <sheet name="Lookup" sheetId="8" r:id="rId8"/>
  </sheets>
  <functionGroups builtInGroupCount="19"/>
  <externalReferences>
    <externalReference r:id="rId9"/>
  </externalReferences>
  <definedNames>
    <definedName name="_xlnm._FilterDatabase" localSheetId="3" hidden="1">Carry!$A$1:$A$93</definedName>
    <definedName name="ColumnTitle1">#REF!</definedName>
    <definedName name="Payment">[1]Lookup!$A$2:$A$6</definedName>
    <definedName name="_xlnm.Print_Titles" localSheetId="0">InvoiceTracker!$2:$2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589" i="6" l="1"/>
  <c r="B1589" i="6" s="1"/>
  <c r="A1590" i="6"/>
  <c r="B1590" i="6"/>
  <c r="A1591" i="6"/>
  <c r="B1591" i="6" s="1"/>
  <c r="A1592" i="6"/>
  <c r="B1592" i="6" s="1"/>
  <c r="A1593" i="6"/>
  <c r="B1593" i="6" s="1"/>
  <c r="A1594" i="6"/>
  <c r="B1594" i="6" s="1"/>
  <c r="A1595" i="6"/>
  <c r="B1595" i="6" s="1"/>
  <c r="A1596" i="6"/>
  <c r="B1596" i="6"/>
  <c r="A1597" i="6"/>
  <c r="B1597" i="6" s="1"/>
  <c r="A1598" i="6"/>
  <c r="B1598" i="6"/>
  <c r="A1599" i="6"/>
  <c r="B1599" i="6" s="1"/>
  <c r="A1600" i="6"/>
  <c r="B1600" i="6" s="1"/>
  <c r="A1601" i="6"/>
  <c r="B1601" i="6" s="1"/>
  <c r="A1602" i="6"/>
  <c r="B1602" i="6" s="1"/>
  <c r="A1603" i="6"/>
  <c r="B1603" i="6" s="1"/>
  <c r="A1604" i="6"/>
  <c r="B1604" i="6"/>
  <c r="A1605" i="6"/>
  <c r="B1605" i="6"/>
  <c r="A1606" i="6"/>
  <c r="B1606" i="6"/>
  <c r="A1607" i="6"/>
  <c r="B1607" i="6" s="1"/>
  <c r="A1608" i="6"/>
  <c r="B1608" i="6" s="1"/>
  <c r="A1609" i="6"/>
  <c r="B1609" i="6" s="1"/>
  <c r="A1610" i="6"/>
  <c r="B1610" i="6" s="1"/>
  <c r="A1611" i="6"/>
  <c r="B1611" i="6" s="1"/>
  <c r="A1612" i="6"/>
  <c r="B1612" i="6"/>
  <c r="A1613" i="6"/>
  <c r="B1613" i="6"/>
  <c r="A1614" i="6"/>
  <c r="B1614" i="6"/>
  <c r="A1615" i="6"/>
  <c r="B1615" i="6" s="1"/>
  <c r="A1616" i="6"/>
  <c r="B1616" i="6" s="1"/>
  <c r="A1617" i="6"/>
  <c r="B1617" i="6" s="1"/>
  <c r="A1618" i="6"/>
  <c r="B1618" i="6" s="1"/>
  <c r="A1619" i="6"/>
  <c r="B1619" i="6" s="1"/>
  <c r="A1620" i="6"/>
  <c r="B1620" i="6"/>
  <c r="A1621" i="6"/>
  <c r="B1621" i="6"/>
  <c r="A1622" i="6"/>
  <c r="B1622" i="6"/>
  <c r="A1623" i="6"/>
  <c r="B1623" i="6" s="1"/>
  <c r="A1624" i="6"/>
  <c r="B1624" i="6" s="1"/>
  <c r="A1625" i="6"/>
  <c r="B1625" i="6" s="1"/>
  <c r="A1626" i="6"/>
  <c r="B1626" i="6" s="1"/>
  <c r="A1627" i="6"/>
  <c r="B1627" i="6" s="1"/>
  <c r="A1628" i="6"/>
  <c r="B1628" i="6"/>
  <c r="A1629" i="6"/>
  <c r="B1629" i="6"/>
  <c r="A1630" i="6"/>
  <c r="B1630" i="6"/>
  <c r="A1631" i="6"/>
  <c r="B1631" i="6" s="1"/>
  <c r="A1632" i="6"/>
  <c r="B1632" i="6" s="1"/>
  <c r="A1633" i="6"/>
  <c r="B1633" i="6" s="1"/>
  <c r="A1634" i="6"/>
  <c r="B1634" i="6" s="1"/>
  <c r="A1635" i="6"/>
  <c r="B1635" i="6" s="1"/>
  <c r="A1636" i="6"/>
  <c r="B1636" i="6"/>
  <c r="A1637" i="6"/>
  <c r="B1637" i="6"/>
  <c r="A1638" i="6"/>
  <c r="B1638" i="6"/>
  <c r="A1639" i="6"/>
  <c r="B1639" i="6" s="1"/>
  <c r="A1640" i="6"/>
  <c r="B1640" i="6" s="1"/>
  <c r="A1641" i="6"/>
  <c r="B1641" i="6" s="1"/>
  <c r="A1642" i="6"/>
  <c r="B1642" i="6" s="1"/>
  <c r="A1643" i="6"/>
  <c r="B1643" i="6" s="1"/>
  <c r="A1644" i="6"/>
  <c r="B1644" i="6"/>
  <c r="A1645" i="6"/>
  <c r="B1645" i="6"/>
  <c r="A1646" i="6"/>
  <c r="B1646" i="6"/>
  <c r="A1647" i="6"/>
  <c r="B1647" i="6" s="1"/>
  <c r="A1648" i="6"/>
  <c r="B1648" i="6" s="1"/>
  <c r="A1649" i="6"/>
  <c r="B1649" i="6" s="1"/>
  <c r="A1650" i="6"/>
  <c r="B1650" i="6" s="1"/>
  <c r="A1651" i="6"/>
  <c r="B1651" i="6" s="1"/>
  <c r="A1652" i="6"/>
  <c r="B1652" i="6"/>
  <c r="A1653" i="6"/>
  <c r="B1653" i="6"/>
  <c r="A1654" i="6"/>
  <c r="B1654" i="6"/>
  <c r="A1655" i="6"/>
  <c r="B1655" i="6" s="1"/>
  <c r="A1656" i="6"/>
  <c r="B1656" i="6" s="1"/>
  <c r="A1657" i="6"/>
  <c r="B1657" i="6" s="1"/>
  <c r="A1658" i="6"/>
  <c r="B1658" i="6" s="1"/>
  <c r="A1659" i="6"/>
  <c r="B1659" i="6" s="1"/>
  <c r="A1660" i="6"/>
  <c r="B1660" i="6"/>
  <c r="A1661" i="6"/>
  <c r="B1661" i="6"/>
  <c r="A1662" i="6"/>
  <c r="B1662" i="6"/>
  <c r="A1663" i="6"/>
  <c r="B1663" i="6" s="1"/>
  <c r="A1664" i="6"/>
  <c r="B1664" i="6" s="1"/>
  <c r="A1665" i="6"/>
  <c r="B1665" i="6" s="1"/>
  <c r="A1666" i="6"/>
  <c r="B1666" i="6" s="1"/>
  <c r="A1667" i="6"/>
  <c r="B1667" i="6" s="1"/>
  <c r="A1668" i="6"/>
  <c r="B1668" i="6"/>
  <c r="A1669" i="6"/>
  <c r="B1669" i="6"/>
  <c r="A1670" i="6"/>
  <c r="B1670" i="6"/>
  <c r="A1671" i="6"/>
  <c r="B1671" i="6" s="1"/>
  <c r="A1672" i="6"/>
  <c r="B1672" i="6" s="1"/>
  <c r="A1673" i="6"/>
  <c r="B1673" i="6" s="1"/>
  <c r="A1674" i="6"/>
  <c r="B1674" i="6" s="1"/>
  <c r="A1675" i="6"/>
  <c r="B1675" i="6" s="1"/>
  <c r="A1676" i="6"/>
  <c r="B1676" i="6"/>
  <c r="A1677" i="6"/>
  <c r="B1677" i="6"/>
  <c r="A1678" i="6"/>
  <c r="B1678" i="6"/>
  <c r="A1679" i="6"/>
  <c r="B1679" i="6" s="1"/>
  <c r="A1680" i="6"/>
  <c r="B1680" i="6" s="1"/>
  <c r="A1681" i="6"/>
  <c r="B1681" i="6" s="1"/>
  <c r="A1682" i="6"/>
  <c r="B1682" i="6" s="1"/>
  <c r="A1683" i="6"/>
  <c r="B1683" i="6" s="1"/>
  <c r="A1684" i="6"/>
  <c r="B1684" i="6"/>
  <c r="A1685" i="6"/>
  <c r="B1685" i="6"/>
  <c r="A1686" i="6"/>
  <c r="B1686" i="6"/>
  <c r="A1687" i="6"/>
  <c r="B1687" i="6" s="1"/>
  <c r="A1688" i="6"/>
  <c r="B1688" i="6" s="1"/>
  <c r="A1689" i="6"/>
  <c r="B1689" i="6" s="1"/>
  <c r="A1690" i="6"/>
  <c r="B1690" i="6" s="1"/>
  <c r="A1691" i="6"/>
  <c r="B1691" i="6" s="1"/>
  <c r="A1692" i="6"/>
  <c r="B1692" i="6"/>
  <c r="A1693" i="6"/>
  <c r="B1693" i="6"/>
  <c r="A1694" i="6"/>
  <c r="B1694" i="6"/>
  <c r="A1695" i="6"/>
  <c r="B1695" i="6" s="1"/>
  <c r="A1696" i="6"/>
  <c r="B1696" i="6" s="1"/>
  <c r="A1697" i="6"/>
  <c r="B1697" i="6" s="1"/>
  <c r="A1698" i="6"/>
  <c r="B1698" i="6" s="1"/>
  <c r="A1699" i="6"/>
  <c r="B1699" i="6" s="1"/>
  <c r="A1700" i="6"/>
  <c r="B1700" i="6"/>
  <c r="A1701" i="6"/>
  <c r="B1701" i="6"/>
  <c r="A1702" i="6"/>
  <c r="B1702" i="6"/>
  <c r="A1703" i="6"/>
  <c r="B1703" i="6" s="1"/>
  <c r="A1704" i="6"/>
  <c r="B1704" i="6" s="1"/>
  <c r="A1705" i="6"/>
  <c r="B1705" i="6" s="1"/>
  <c r="A1706" i="6"/>
  <c r="B1706" i="6" s="1"/>
  <c r="A1707" i="6"/>
  <c r="B1707" i="6" s="1"/>
  <c r="A1708" i="6"/>
  <c r="B1708" i="6"/>
  <c r="A1709" i="6"/>
  <c r="B1709" i="6"/>
  <c r="A1710" i="6"/>
  <c r="B1710" i="6"/>
  <c r="A1711" i="6"/>
  <c r="B1711" i="6" s="1"/>
  <c r="A1712" i="6"/>
  <c r="B1712" i="6" s="1"/>
  <c r="A1713" i="6"/>
  <c r="B1713" i="6" s="1"/>
  <c r="A1714" i="6"/>
  <c r="B1714" i="6" s="1"/>
  <c r="A1715" i="6"/>
  <c r="B1715" i="6" s="1"/>
  <c r="A1716" i="6"/>
  <c r="B1716" i="6"/>
  <c r="A1717" i="6"/>
  <c r="B1717" i="6"/>
  <c r="A1718" i="6"/>
  <c r="B1718" i="6"/>
  <c r="A1719" i="6"/>
  <c r="B1719" i="6" s="1"/>
  <c r="A1720" i="6"/>
  <c r="B1720" i="6" s="1"/>
  <c r="A1721" i="6"/>
  <c r="B1721" i="6" s="1"/>
  <c r="A1722" i="6"/>
  <c r="B1722" i="6" s="1"/>
  <c r="A1723" i="6"/>
  <c r="B1723" i="6" s="1"/>
  <c r="A1724" i="6"/>
  <c r="B1724" i="6"/>
  <c r="A1725" i="6"/>
  <c r="B1725" i="6"/>
  <c r="A1726" i="6"/>
  <c r="B1726" i="6"/>
  <c r="A1727" i="6"/>
  <c r="B1727" i="6" s="1"/>
  <c r="A1728" i="6"/>
  <c r="B1728" i="6" s="1"/>
  <c r="A1729" i="6"/>
  <c r="B1729" i="6" s="1"/>
  <c r="A1730" i="6"/>
  <c r="B1730" i="6" s="1"/>
  <c r="A1731" i="6"/>
  <c r="B1731" i="6" s="1"/>
  <c r="A1732" i="6"/>
  <c r="B1732" i="6"/>
  <c r="A1733" i="6"/>
  <c r="B1733" i="6"/>
  <c r="A1734" i="6"/>
  <c r="B1734" i="6"/>
  <c r="A1735" i="6"/>
  <c r="B1735" i="6" s="1"/>
  <c r="A1736" i="6"/>
  <c r="B1736" i="6" s="1"/>
  <c r="A1737" i="6"/>
  <c r="B1737" i="6" s="1"/>
  <c r="A1738" i="6"/>
  <c r="B1738" i="6" s="1"/>
  <c r="A1739" i="6"/>
  <c r="B1739" i="6" s="1"/>
  <c r="A1740" i="6"/>
  <c r="B1740" i="6"/>
  <c r="A1741" i="6"/>
  <c r="B1741" i="6"/>
  <c r="A1742" i="6"/>
  <c r="B1742" i="6"/>
  <c r="A1743" i="6"/>
  <c r="B1743" i="6" s="1"/>
  <c r="A1744" i="6"/>
  <c r="B1744" i="6" s="1"/>
  <c r="A1745" i="6"/>
  <c r="B1745" i="6" s="1"/>
  <c r="A1746" i="6"/>
  <c r="B1746" i="6" s="1"/>
  <c r="A1747" i="6"/>
  <c r="B1747" i="6" s="1"/>
  <c r="A1748" i="6"/>
  <c r="B1748" i="6"/>
  <c r="A1749" i="6"/>
  <c r="B1749" i="6"/>
  <c r="A1750" i="6"/>
  <c r="B1750" i="6"/>
  <c r="A1751" i="6"/>
  <c r="B1751" i="6" s="1"/>
  <c r="A1752" i="6"/>
  <c r="B1752" i="6" s="1"/>
  <c r="A1753" i="6"/>
  <c r="B1753" i="6" s="1"/>
  <c r="A1754" i="6"/>
  <c r="B1754" i="6" s="1"/>
  <c r="A1755" i="6"/>
  <c r="B1755" i="6" s="1"/>
  <c r="A1756" i="6"/>
  <c r="B1756" i="6"/>
  <c r="A1757" i="6"/>
  <c r="B1757" i="6"/>
  <c r="A1758" i="6"/>
  <c r="B1758" i="6"/>
  <c r="A1759" i="6"/>
  <c r="B1759" i="6" s="1"/>
  <c r="A1760" i="6"/>
  <c r="B1760" i="6" s="1"/>
  <c r="A1761" i="6"/>
  <c r="B1761" i="6" s="1"/>
  <c r="A1762" i="6"/>
  <c r="B1762" i="6" s="1"/>
  <c r="A1763" i="6"/>
  <c r="B1763" i="6" s="1"/>
  <c r="A1764" i="6"/>
  <c r="B1764" i="6"/>
  <c r="A1765" i="6"/>
  <c r="B1765" i="6"/>
  <c r="A1766" i="6"/>
  <c r="B1766" i="6"/>
  <c r="A1767" i="6"/>
  <c r="B1767" i="6" s="1"/>
  <c r="A1768" i="6"/>
  <c r="B1768" i="6" s="1"/>
  <c r="A1769" i="6"/>
  <c r="B1769" i="6" s="1"/>
  <c r="A1770" i="6"/>
  <c r="B1770" i="6" s="1"/>
  <c r="A1771" i="6"/>
  <c r="B1771" i="6" s="1"/>
  <c r="A1772" i="6"/>
  <c r="B1772" i="6"/>
  <c r="A1773" i="6"/>
  <c r="B1773" i="6"/>
  <c r="A1774" i="6"/>
  <c r="B1774" i="6"/>
  <c r="A1775" i="6"/>
  <c r="B1775" i="6" s="1"/>
  <c r="A1776" i="6"/>
  <c r="B1776" i="6" s="1"/>
  <c r="A1777" i="6"/>
  <c r="B1777" i="6" s="1"/>
  <c r="A1778" i="6"/>
  <c r="B1778" i="6" s="1"/>
  <c r="A1779" i="6"/>
  <c r="B1779" i="6" s="1"/>
  <c r="A1780" i="6"/>
  <c r="B1780" i="6"/>
  <c r="A1781" i="6"/>
  <c r="B1781" i="6"/>
  <c r="A1782" i="6"/>
  <c r="B1782" i="6"/>
  <c r="A1783" i="6"/>
  <c r="B1783" i="6" s="1"/>
  <c r="A1784" i="6"/>
  <c r="B1784" i="6" s="1"/>
  <c r="A1785" i="6"/>
  <c r="B1785" i="6" s="1"/>
  <c r="A1786" i="6"/>
  <c r="B1786" i="6" s="1"/>
  <c r="A1787" i="6"/>
  <c r="B1787" i="6" s="1"/>
  <c r="A1788" i="6"/>
  <c r="B1788" i="6"/>
  <c r="A1789" i="6"/>
  <c r="B1789" i="6"/>
  <c r="A1790" i="6"/>
  <c r="B1790" i="6"/>
  <c r="A1791" i="6"/>
  <c r="B1791" i="6" s="1"/>
  <c r="A1792" i="6"/>
  <c r="B1792" i="6" s="1"/>
  <c r="A1793" i="6"/>
  <c r="B1793" i="6" s="1"/>
  <c r="A1794" i="6"/>
  <c r="B1794" i="6" s="1"/>
  <c r="A1795" i="6"/>
  <c r="B1795" i="6" s="1"/>
  <c r="A1796" i="6"/>
  <c r="B1796" i="6"/>
  <c r="A1797" i="6"/>
  <c r="B1797" i="6"/>
  <c r="A1798" i="6"/>
  <c r="B1798" i="6"/>
  <c r="A1799" i="6"/>
  <c r="B1799" i="6" s="1"/>
  <c r="A1800" i="6"/>
  <c r="B1800" i="6" s="1"/>
  <c r="A1801" i="6"/>
  <c r="B1801" i="6" s="1"/>
  <c r="A1802" i="6"/>
  <c r="B1802" i="6" s="1"/>
  <c r="A1803" i="6"/>
  <c r="B1803" i="6" s="1"/>
  <c r="A1804" i="6"/>
  <c r="B1804" i="6"/>
  <c r="A1805" i="6"/>
  <c r="B1805" i="6"/>
  <c r="A1806" i="6"/>
  <c r="B1806" i="6"/>
  <c r="A1807" i="6"/>
  <c r="B1807" i="6" s="1"/>
  <c r="A1808" i="6"/>
  <c r="B1808" i="6" s="1"/>
  <c r="A1809" i="6"/>
  <c r="B1809" i="6" s="1"/>
  <c r="A1810" i="6"/>
  <c r="B1810" i="6" s="1"/>
  <c r="A1811" i="6"/>
  <c r="B1811" i="6" s="1"/>
  <c r="A1812" i="6"/>
  <c r="B1812" i="6"/>
  <c r="A1813" i="6"/>
  <c r="B1813" i="6"/>
  <c r="A1814" i="6"/>
  <c r="B1814" i="6"/>
  <c r="A1815" i="6"/>
  <c r="B1815" i="6" s="1"/>
  <c r="A1816" i="6"/>
  <c r="B1816" i="6" s="1"/>
  <c r="A1817" i="6"/>
  <c r="B1817" i="6" s="1"/>
  <c r="A1818" i="6"/>
  <c r="B1818" i="6" s="1"/>
  <c r="A1819" i="6"/>
  <c r="B1819" i="6" s="1"/>
  <c r="A1820" i="6"/>
  <c r="B1820" i="6"/>
  <c r="A1821" i="6"/>
  <c r="B1821" i="6"/>
  <c r="A1822" i="6"/>
  <c r="B1822" i="6"/>
  <c r="A1823" i="6"/>
  <c r="B1823" i="6" s="1"/>
  <c r="A1824" i="6"/>
  <c r="B1824" i="6" s="1"/>
  <c r="A1825" i="6"/>
  <c r="B1825" i="6" s="1"/>
  <c r="A1826" i="6"/>
  <c r="B1826" i="6" s="1"/>
  <c r="A1827" i="6"/>
  <c r="B1827" i="6" s="1"/>
  <c r="A1828" i="6"/>
  <c r="B1828" i="6"/>
  <c r="A1829" i="6"/>
  <c r="B1829" i="6"/>
  <c r="A1830" i="6"/>
  <c r="B1830" i="6"/>
  <c r="A1831" i="6"/>
  <c r="B1831" i="6" s="1"/>
  <c r="A1832" i="6"/>
  <c r="B1832" i="6" s="1"/>
  <c r="A1833" i="6"/>
  <c r="B1833" i="6" s="1"/>
  <c r="A1834" i="6"/>
  <c r="B1834" i="6" s="1"/>
  <c r="A1835" i="6"/>
  <c r="B1835" i="6" s="1"/>
  <c r="A1836" i="6"/>
  <c r="B1836" i="6"/>
  <c r="A1837" i="6"/>
  <c r="B1837" i="6"/>
  <c r="A1838" i="6"/>
  <c r="B1838" i="6"/>
  <c r="A1839" i="6"/>
  <c r="B1839" i="6" s="1"/>
  <c r="A1840" i="6"/>
  <c r="B1840" i="6" s="1"/>
  <c r="A1841" i="6"/>
  <c r="B1841" i="6" s="1"/>
  <c r="A1842" i="6"/>
  <c r="B1842" i="6" s="1"/>
  <c r="A1843" i="6"/>
  <c r="B1843" i="6" s="1"/>
  <c r="A1844" i="6"/>
  <c r="B1844" i="6"/>
  <c r="A1845" i="6"/>
  <c r="B1845" i="6"/>
  <c r="A1846" i="6"/>
  <c r="B1846" i="6"/>
  <c r="A1847" i="6"/>
  <c r="B1847" i="6" s="1"/>
  <c r="A1848" i="6"/>
  <c r="B1848" i="6" s="1"/>
  <c r="A1849" i="6"/>
  <c r="B1849" i="6" s="1"/>
  <c r="A1850" i="6"/>
  <c r="B1850" i="6" s="1"/>
  <c r="A1851" i="6"/>
  <c r="B1851" i="6" s="1"/>
  <c r="A1852" i="6"/>
  <c r="B1852" i="6"/>
  <c r="A1853" i="6"/>
  <c r="B1853" i="6"/>
  <c r="A1854" i="6"/>
  <c r="B1854" i="6"/>
  <c r="A1855" i="6"/>
  <c r="B1855" i="6" s="1"/>
  <c r="A1856" i="6"/>
  <c r="B1856" i="6" s="1"/>
  <c r="A1857" i="6"/>
  <c r="B1857" i="6" s="1"/>
  <c r="A1858" i="6"/>
  <c r="B1858" i="6" s="1"/>
  <c r="A1859" i="6"/>
  <c r="B1859" i="6" s="1"/>
  <c r="A1860" i="6"/>
  <c r="B1860" i="6"/>
  <c r="A1577" i="6"/>
  <c r="B1577" i="6"/>
  <c r="A1578" i="6"/>
  <c r="B1578" i="6"/>
  <c r="A1579" i="6"/>
  <c r="B1579" i="6" s="1"/>
  <c r="A1580" i="6"/>
  <c r="B1580" i="6" s="1"/>
  <c r="A1581" i="6"/>
  <c r="B1581" i="6" s="1"/>
  <c r="A1582" i="6"/>
  <c r="B1582" i="6" s="1"/>
  <c r="A1583" i="6"/>
  <c r="B1583" i="6" s="1"/>
  <c r="A1584" i="6"/>
  <c r="B1584" i="6"/>
  <c r="A1585" i="6"/>
  <c r="B1585" i="6"/>
  <c r="A1586" i="6"/>
  <c r="B1586" i="6"/>
  <c r="A1587" i="6"/>
  <c r="B1587" i="6" s="1"/>
  <c r="A1588" i="6"/>
  <c r="B1588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2" i="6"/>
  <c r="A4" i="1"/>
  <c r="A2" i="2"/>
  <c r="E4" i="1"/>
  <c r="F4" i="1"/>
  <c r="G4" i="1"/>
  <c r="B1355" i="6" l="1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336" i="6" l="1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9" i="6" l="1"/>
  <c r="B8" i="6"/>
  <c r="B1092" i="6" l="1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2" i="6" l="1"/>
  <c r="B3" i="6"/>
  <c r="B4" i="6"/>
  <c r="B5" i="6"/>
  <c r="B6" i="6"/>
  <c r="B7" i="6"/>
  <c r="B76" i="6" l="1"/>
  <c r="B1091" i="6"/>
  <c r="B1090" i="6"/>
  <c r="B1089" i="6"/>
  <c r="B1088" i="6"/>
  <c r="B1087" i="6"/>
  <c r="B1086" i="6"/>
  <c r="B1085" i="6"/>
  <c r="B1084" i="6"/>
  <c r="B1083" i="6"/>
  <c r="B1082" i="6"/>
  <c r="B1081" i="6"/>
  <c r="B1080" i="6"/>
  <c r="B1079" i="6"/>
  <c r="B1078" i="6"/>
  <c r="B1077" i="6"/>
  <c r="B1076" i="6"/>
  <c r="B1075" i="6"/>
  <c r="B1074" i="6"/>
  <c r="B1073" i="6"/>
  <c r="B1072" i="6"/>
  <c r="B1071" i="6"/>
  <c r="B1070" i="6"/>
  <c r="B1069" i="6"/>
  <c r="B1068" i="6"/>
  <c r="B1067" i="6"/>
  <c r="B1066" i="6"/>
  <c r="B1065" i="6"/>
  <c r="B1064" i="6"/>
  <c r="B1063" i="6"/>
  <c r="B1062" i="6"/>
  <c r="B1061" i="6"/>
  <c r="B1060" i="6"/>
  <c r="B1059" i="6"/>
  <c r="B1058" i="6"/>
  <c r="B1057" i="6"/>
  <c r="B1056" i="6"/>
  <c r="B1055" i="6"/>
  <c r="B1054" i="6"/>
  <c r="B1053" i="6"/>
  <c r="B1052" i="6"/>
  <c r="B1051" i="6"/>
  <c r="B1050" i="6"/>
  <c r="B1049" i="6"/>
  <c r="B1048" i="6"/>
  <c r="B1047" i="6"/>
  <c r="B1046" i="6"/>
  <c r="B1045" i="6"/>
  <c r="B1044" i="6"/>
  <c r="B1043" i="6"/>
  <c r="B1042" i="6"/>
  <c r="B1041" i="6"/>
  <c r="B1040" i="6"/>
  <c r="B1039" i="6"/>
  <c r="B1038" i="6"/>
  <c r="B1037" i="6"/>
  <c r="B1036" i="6"/>
  <c r="B1035" i="6"/>
  <c r="B1034" i="6"/>
  <c r="B1033" i="6"/>
  <c r="B1032" i="6"/>
  <c r="B1031" i="6"/>
  <c r="B1030" i="6"/>
  <c r="B1029" i="6"/>
  <c r="B1028" i="6"/>
  <c r="B1027" i="6"/>
  <c r="B1026" i="6"/>
  <c r="B1025" i="6"/>
  <c r="B1024" i="6"/>
  <c r="B1023" i="6"/>
  <c r="B1022" i="6"/>
  <c r="B1021" i="6"/>
  <c r="B1020" i="6"/>
  <c r="B1019" i="6"/>
  <c r="B1018" i="6"/>
  <c r="B1017" i="6"/>
  <c r="B1016" i="6"/>
  <c r="B1015" i="6"/>
  <c r="B1014" i="6"/>
  <c r="B1013" i="6"/>
  <c r="B1012" i="6"/>
  <c r="B1011" i="6"/>
  <c r="B1010" i="6"/>
  <c r="B1009" i="6"/>
  <c r="B1008" i="6"/>
  <c r="B1007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10" i="6"/>
  <c r="B12" i="6" l="1"/>
  <c r="B11" i="6"/>
  <c r="B13" i="6" l="1"/>
  <c r="B14" i="6" l="1"/>
  <c r="B15" i="6" l="1"/>
  <c r="B16" i="6" l="1"/>
  <c r="B17" i="6" l="1"/>
  <c r="B18" i="6" l="1"/>
  <c r="B19" i="6" l="1"/>
  <c r="B20" i="6" l="1"/>
  <c r="B21" i="6" l="1"/>
  <c r="B22" i="6" l="1"/>
  <c r="B23" i="6" l="1"/>
  <c r="B24" i="6" l="1"/>
  <c r="B25" i="6" l="1"/>
  <c r="B26" i="6" l="1"/>
  <c r="B27" i="6" l="1"/>
  <c r="B28" i="6" l="1"/>
  <c r="B29" i="6" l="1"/>
  <c r="B30" i="6" l="1"/>
  <c r="B31" i="6" l="1"/>
  <c r="B32" i="6" l="1"/>
  <c r="B33" i="6" l="1"/>
  <c r="B34" i="6" l="1"/>
  <c r="B35" i="6" l="1"/>
  <c r="B36" i="6" l="1"/>
  <c r="B37" i="6" l="1"/>
  <c r="B38" i="6" l="1"/>
  <c r="B39" i="6" l="1"/>
  <c r="B40" i="6" l="1"/>
  <c r="B41" i="6" l="1"/>
  <c r="B42" i="6" l="1"/>
  <c r="B43" i="6" l="1"/>
  <c r="B44" i="6" l="1"/>
  <c r="B45" i="6" l="1"/>
  <c r="B46" i="6" l="1"/>
  <c r="B47" i="6" l="1"/>
  <c r="B48" i="6" l="1"/>
  <c r="B49" i="6" l="1"/>
  <c r="B50" i="6" l="1"/>
  <c r="B51" i="6" l="1"/>
  <c r="B52" i="6" l="1"/>
  <c r="B53" i="6" l="1"/>
  <c r="B54" i="6" l="1"/>
  <c r="B55" i="6" l="1"/>
  <c r="B56" i="6" l="1"/>
  <c r="B57" i="6" l="1"/>
  <c r="B58" i="6" l="1"/>
  <c r="B59" i="6" l="1"/>
  <c r="B60" i="6" l="1"/>
  <c r="B61" i="6" l="1"/>
  <c r="B62" i="6" l="1"/>
  <c r="B63" i="6" l="1"/>
  <c r="B64" i="6" l="1"/>
  <c r="B65" i="6" l="1"/>
  <c r="B66" i="6" l="1"/>
  <c r="B67" i="6" l="1"/>
  <c r="B68" i="6" l="1"/>
  <c r="B69" i="6" l="1"/>
  <c r="B70" i="6" l="1"/>
  <c r="B71" i="6" l="1"/>
  <c r="B72" i="6" l="1"/>
  <c r="B73" i="6" l="1"/>
  <c r="B74" i="6" l="1"/>
  <c r="B75" i="6"/>
</calcChain>
</file>

<file path=xl/sharedStrings.xml><?xml version="1.0" encoding="utf-8"?>
<sst xmlns="http://schemas.openxmlformats.org/spreadsheetml/2006/main" count="1396" uniqueCount="1378">
  <si>
    <t>Invoice Tracker</t>
  </si>
  <si>
    <t>Invoice</t>
  </si>
  <si>
    <t>Date</t>
  </si>
  <si>
    <t>Mobile Number</t>
  </si>
  <si>
    <t>Mode Of Payment</t>
  </si>
  <si>
    <t>Discount Amount</t>
  </si>
  <si>
    <t xml:space="preserve">Total Amount </t>
  </si>
  <si>
    <t>Total</t>
  </si>
  <si>
    <t>Code</t>
  </si>
  <si>
    <t>Selling Price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</si>
  <si>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</si>
  <si>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</si>
  <si>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</si>
  <si>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</si>
  <si>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</si>
  <si>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</si>
  <si>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</si>
  <si>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</si>
  <si>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</si>
  <si>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</si>
  <si>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</si>
  <si>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</si>
  <si>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</si>
  <si>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</si>
  <si>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</si>
  <si>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</si>
  <si>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</si>
  <si>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D30</t>
  </si>
  <si>
    <t>D29</t>
  </si>
  <si>
    <t>D19</t>
  </si>
  <si>
    <t>D20</t>
  </si>
  <si>
    <t>D28</t>
  </si>
  <si>
    <t>D22</t>
  </si>
  <si>
    <t>D21</t>
  </si>
  <si>
    <t>D24</t>
  </si>
  <si>
    <t>D25</t>
  </si>
  <si>
    <t>D18</t>
  </si>
  <si>
    <t>D26</t>
  </si>
  <si>
    <t>D27</t>
  </si>
  <si>
    <t>D23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</si>
  <si>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</si>
  <si>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</si>
  <si>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</si>
  <si>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</si>
  <si>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</si>
  <si>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</si>
  <si>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</si>
  <si>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</si>
  <si>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</si>
  <si>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</si>
  <si>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</si>
  <si>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D31</t>
  </si>
  <si>
    <t>D32</t>
  </si>
  <si>
    <t>D33</t>
  </si>
  <si>
    <t>D34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</si>
  <si>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</si>
  <si>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</si>
  <si>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</si>
  <si>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</si>
  <si>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</si>
  <si>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</si>
  <si>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</si>
  <si>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</si>
  <si>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</si>
  <si>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</si>
  <si>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</si>
  <si>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</si>
  <si>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</si>
  <si>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</si>
  <si>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</si>
  <si>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</si>
  <si>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</si>
  <si>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</si>
  <si>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</si>
  <si>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</si>
  <si>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</si>
  <si>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</si>
  <si>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</si>
  <si>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</si>
  <si>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</si>
  <si>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</si>
  <si>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</si>
  <si>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</si>
  <si>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</si>
  <si>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</si>
  <si>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</si>
  <si>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</si>
  <si>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</si>
  <si>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</si>
  <si>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</si>
  <si>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</si>
  <si>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</si>
  <si>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</si>
  <si>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</si>
  <si>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</si>
  <si>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</si>
  <si>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</si>
  <si>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</si>
  <si>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</si>
  <si>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</si>
  <si>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</si>
  <si>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</si>
  <si>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</si>
  <si>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</si>
  <si>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</si>
  <si>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</si>
  <si>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</si>
  <si>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</si>
  <si>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</si>
  <si>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</si>
  <si>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</si>
  <si>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</si>
  <si>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</si>
  <si>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</si>
  <si>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</si>
  <si>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</si>
  <si>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</si>
  <si>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</si>
  <si>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</si>
  <si>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</si>
  <si>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</si>
  <si>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</si>
  <si>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</si>
  <si>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</si>
  <si>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</si>
  <si>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</si>
  <si>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</si>
  <si>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</si>
  <si>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</si>
  <si>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</si>
  <si>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</si>
  <si>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</si>
  <si>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</si>
  <si>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</si>
  <si>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</si>
  <si>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</si>
  <si>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</si>
  <si>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</si>
  <si>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</si>
  <si>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</si>
  <si>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</si>
  <si>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</si>
  <si>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</si>
  <si>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</si>
  <si>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</si>
  <si>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</si>
  <si>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</si>
  <si>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</si>
  <si>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</si>
  <si>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Invoice No</t>
  </si>
  <si>
    <t>Item Name</t>
  </si>
  <si>
    <t>Quantity</t>
  </si>
  <si>
    <t>Next Invoice No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</si>
  <si>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</si>
  <si>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</si>
  <si>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</si>
  <si>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</si>
  <si>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</si>
  <si>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</si>
  <si>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</si>
  <si>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</si>
  <si>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</si>
  <si>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</si>
  <si>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</si>
  <si>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</si>
  <si>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</si>
  <si>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</si>
  <si>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</si>
  <si>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</si>
  <si>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</si>
  <si>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</si>
  <si>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</si>
  <si>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</si>
  <si>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</si>
  <si>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</si>
  <si>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</si>
  <si>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</si>
  <si>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</si>
  <si>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</si>
  <si>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A95</t>
  </si>
  <si>
    <t>A96</t>
  </si>
  <si>
    <t>A97</t>
  </si>
  <si>
    <t>A98</t>
  </si>
  <si>
    <t>D79</t>
  </si>
  <si>
    <t>D72</t>
  </si>
  <si>
    <t>D73</t>
  </si>
  <si>
    <t>D74</t>
  </si>
  <si>
    <t>D75</t>
  </si>
  <si>
    <t>D76</t>
  </si>
  <si>
    <t>D77</t>
  </si>
  <si>
    <t>D78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</si>
  <si>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</si>
  <si>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</si>
  <si>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</si>
  <si>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</si>
  <si>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</si>
  <si>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</si>
  <si>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</si>
  <si>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</si>
  <si>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</si>
  <si>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</si>
  <si>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</si>
  <si>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</si>
  <si>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</si>
  <si>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</si>
  <si>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</si>
  <si>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</si>
  <si>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</si>
  <si>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</si>
  <si>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</si>
  <si>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</si>
  <si>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</si>
  <si>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</si>
  <si>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</si>
  <si>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</si>
  <si>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</si>
  <si>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</si>
  <si>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</si>
  <si>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</si>
  <si>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</si>
  <si>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</si>
  <si>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</si>
  <si>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</si>
  <si>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</si>
  <si>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</si>
  <si>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</si>
  <si>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</si>
  <si>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</si>
  <si>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</si>
  <si>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</si>
  <si>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</si>
  <si>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</si>
  <si>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</si>
  <si>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</si>
  <si>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</si>
  <si>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</si>
  <si>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</si>
  <si>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</si>
  <si>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</si>
  <si>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</si>
  <si>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</si>
  <si>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</si>
  <si>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</si>
  <si>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</si>
  <si>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</si>
  <si>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</si>
  <si>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</si>
  <si>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</si>
  <si>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</si>
  <si>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</si>
  <si>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</si>
  <si>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</si>
  <si>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</si>
  <si>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</si>
  <si>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</si>
  <si>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</si>
  <si>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</si>
  <si>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</si>
  <si>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</si>
  <si>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</si>
  <si>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</si>
  <si>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D150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</si>
  <si>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</si>
  <si>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</si>
  <si>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</si>
  <si>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</si>
  <si>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</si>
  <si>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</si>
  <si>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</si>
  <si>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</si>
  <si>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</si>
  <si>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D160</t>
  </si>
  <si>
    <t>D161</t>
  </si>
  <si>
    <t>D162</t>
  </si>
  <si>
    <t>D163</t>
  </si>
  <si>
    <t>D164</t>
  </si>
  <si>
    <t>D165</t>
  </si>
  <si>
    <t>D166</t>
  </si>
  <si>
    <t>D167</t>
  </si>
  <si>
    <t>D168</t>
  </si>
  <si>
    <t>D169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</si>
  <si>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</si>
  <si>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</si>
  <si>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</si>
  <si>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</si>
  <si>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</si>
  <si>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</si>
  <si>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</si>
  <si>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</si>
  <si>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</si>
  <si>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</si>
  <si>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</si>
  <si>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</si>
  <si>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</si>
  <si>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</si>
  <si>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</si>
  <si>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</si>
  <si>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</si>
  <si>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</si>
  <si>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</si>
  <si>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</si>
  <si>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</si>
  <si>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</si>
  <si>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</si>
  <si>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</si>
  <si>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D194</t>
  </si>
  <si>
    <t>D195</t>
  </si>
  <si>
    <t>D196</t>
  </si>
  <si>
    <t>D197</t>
  </si>
  <si>
    <t>D198</t>
  </si>
  <si>
    <t>D199</t>
  </si>
  <si>
    <t>D200</t>
  </si>
  <si>
    <t>D201</t>
  </si>
  <si>
    <t>D202</t>
  </si>
  <si>
    <t>D203</t>
  </si>
  <si>
    <t>D204</t>
  </si>
  <si>
    <t>D205</t>
  </si>
  <si>
    <t>D206</t>
  </si>
  <si>
    <t>D207</t>
  </si>
  <si>
    <t>D208</t>
  </si>
  <si>
    <t>D209</t>
  </si>
  <si>
    <t>D210</t>
  </si>
  <si>
    <t>D211</t>
  </si>
  <si>
    <t>D212</t>
  </si>
  <si>
    <t>D213</t>
  </si>
  <si>
    <t>D214</t>
  </si>
  <si>
    <t>D215</t>
  </si>
  <si>
    <t>D216</t>
  </si>
  <si>
    <t>D217</t>
  </si>
  <si>
    <t>D218</t>
  </si>
  <si>
    <t>D219</t>
  </si>
  <si>
    <t>D220</t>
  </si>
  <si>
    <t>A99</t>
  </si>
  <si>
    <t>A100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</si>
  <si>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</si>
  <si>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</si>
  <si>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</si>
  <si>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</si>
  <si>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</si>
  <si>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</si>
  <si>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</si>
  <si>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</si>
  <si>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</si>
  <si>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</si>
  <si>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</si>
  <si>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</si>
  <si>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</si>
  <si>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</si>
  <si>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</si>
  <si>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</si>
  <si>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</si>
  <si>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</si>
  <si>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</si>
  <si>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</si>
  <si>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</si>
  <si>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</si>
  <si>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</si>
  <si>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</si>
  <si>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</si>
  <si>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</si>
  <si>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</si>
  <si>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</si>
  <si>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</si>
  <si>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</si>
  <si>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</si>
  <si>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</si>
  <si>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</si>
  <si>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</si>
  <si>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</si>
  <si>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</si>
  <si>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</si>
  <si>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</si>
  <si>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</si>
  <si>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</si>
  <si>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</si>
  <si>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</si>
  <si>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</si>
  <si>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</si>
  <si>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</si>
  <si>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</si>
  <si>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</si>
  <si>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</si>
  <si>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</si>
  <si>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</si>
  <si>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</si>
  <si>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</si>
  <si>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</si>
  <si>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</si>
  <si>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</si>
  <si>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</si>
  <si>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</si>
  <si>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</si>
  <si>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</si>
  <si>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</si>
  <si>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</si>
  <si>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</si>
  <si>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</si>
  <si>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</si>
  <si>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</si>
  <si>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</si>
  <si>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</si>
  <si>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</si>
  <si>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</si>
  <si>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</si>
  <si>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</si>
  <si>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</si>
  <si>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</si>
  <si>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</si>
  <si>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</si>
  <si>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</si>
  <si>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</si>
  <si>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</si>
  <si>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</si>
  <si>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</si>
  <si>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</si>
  <si>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</si>
  <si>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</si>
  <si>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</si>
  <si>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</si>
  <si>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</si>
  <si>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</si>
  <si>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</si>
  <si>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</si>
  <si>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</si>
  <si>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</si>
  <si>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</si>
  <si>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</si>
  <si>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</si>
  <si>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</si>
  <si>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</si>
  <si>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</si>
  <si>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</si>
  <si>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</si>
  <si>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</si>
  <si>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</si>
  <si>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</si>
  <si>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</si>
  <si>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</si>
  <si>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</si>
  <si>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</si>
  <si>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</si>
  <si>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</si>
  <si>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</si>
  <si>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</si>
  <si>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</si>
  <si>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</si>
  <si>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</si>
  <si>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</si>
  <si>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</si>
  <si>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</si>
  <si>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</si>
  <si>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</si>
  <si>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Total Qty</t>
  </si>
  <si>
    <t>A101</t>
  </si>
  <si>
    <t>A119</t>
  </si>
  <si>
    <t>Products</t>
  </si>
  <si>
    <t>D221</t>
  </si>
  <si>
    <t>D222</t>
  </si>
  <si>
    <t>D223</t>
  </si>
  <si>
    <t>D224</t>
  </si>
  <si>
    <t>D225</t>
  </si>
  <si>
    <t>D226</t>
  </si>
  <si>
    <t>D227</t>
  </si>
  <si>
    <t>D228</t>
  </si>
  <si>
    <t>D229</t>
  </si>
  <si>
    <t>D230</t>
  </si>
  <si>
    <t>D231</t>
  </si>
  <si>
    <t>D232</t>
  </si>
  <si>
    <t>D233</t>
  </si>
  <si>
    <t>D234</t>
  </si>
  <si>
    <t>D235</t>
  </si>
  <si>
    <t>D236</t>
  </si>
  <si>
    <t>D237</t>
  </si>
  <si>
    <t>D238</t>
  </si>
  <si>
    <t>D239</t>
  </si>
  <si>
    <t>D240</t>
  </si>
  <si>
    <t>D241</t>
  </si>
  <si>
    <t>D242</t>
  </si>
  <si>
    <t>D243</t>
  </si>
  <si>
    <t>D244</t>
  </si>
  <si>
    <t>D245</t>
  </si>
  <si>
    <t>D246</t>
  </si>
  <si>
    <t>D247</t>
  </si>
  <si>
    <t>D248</t>
  </si>
  <si>
    <t>D249</t>
  </si>
  <si>
    <t>D250</t>
  </si>
  <si>
    <t>D251</t>
  </si>
  <si>
    <t>D252</t>
  </si>
  <si>
    <t>D253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</si>
  <si>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</si>
  <si>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</si>
  <si>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</si>
  <si>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</si>
  <si>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</si>
  <si>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</si>
  <si>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</si>
  <si>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</si>
  <si>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</si>
  <si>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</si>
  <si>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</si>
  <si>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</si>
  <si>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</si>
  <si>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</si>
  <si>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</si>
  <si>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</si>
  <si>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</si>
  <si>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</si>
  <si>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</si>
  <si>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</si>
  <si>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</si>
  <si>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</si>
  <si>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</si>
  <si>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</si>
  <si>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</si>
  <si>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</si>
  <si>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</si>
  <si>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</si>
  <si>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</si>
  <si>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</si>
  <si>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</si>
  <si>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</si>
  <si>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</si>
  <si>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</si>
  <si>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</si>
  <si>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</si>
  <si>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</si>
  <si>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</si>
  <si>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</si>
  <si>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</si>
  <si>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</si>
  <si>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</si>
  <si>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</si>
  <si>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</si>
  <si>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</si>
  <si>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</si>
  <si>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</si>
  <si>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</si>
  <si>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</si>
  <si>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</si>
  <si>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</si>
  <si>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</si>
  <si>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</si>
  <si>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</si>
  <si>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</si>
  <si>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</si>
  <si>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</si>
  <si>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</si>
  <si>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</si>
  <si>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</si>
  <si>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</si>
  <si>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</si>
  <si>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</si>
  <si>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</si>
  <si>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</si>
  <si>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</si>
  <si>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</si>
  <si>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</si>
  <si>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</si>
  <si>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</si>
  <si>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</si>
  <si>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</si>
  <si>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</si>
  <si>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</si>
  <si>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</si>
  <si>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</si>
  <si>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</si>
  <si>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</si>
  <si>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</si>
  <si>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</si>
  <si>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</si>
  <si>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</si>
  <si>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</si>
  <si>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</si>
  <si>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</si>
  <si>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</si>
  <si>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</si>
  <si>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</si>
  <si>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</si>
  <si>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</si>
  <si>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</si>
  <si>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</si>
  <si>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</si>
  <si>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</si>
  <si>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</si>
  <si>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</si>
  <si>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</si>
  <si>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</si>
  <si>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</si>
  <si>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</si>
  <si>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</si>
  <si>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</si>
  <si>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</si>
  <si>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DD1</t>
  </si>
  <si>
    <t>D254</t>
  </si>
  <si>
    <t>D255</t>
  </si>
  <si>
    <t>D256</t>
  </si>
  <si>
    <t>D257</t>
  </si>
  <si>
    <t>D258</t>
  </si>
  <si>
    <t>D259</t>
  </si>
  <si>
    <t>D260</t>
  </si>
  <si>
    <t>D261</t>
  </si>
  <si>
    <t>D262</t>
  </si>
  <si>
    <t>D263</t>
  </si>
  <si>
    <t>D264</t>
  </si>
  <si>
    <t>D265</t>
  </si>
  <si>
    <t>D266</t>
  </si>
  <si>
    <t>D267</t>
  </si>
  <si>
    <t>D268</t>
  </si>
  <si>
    <t>D269</t>
  </si>
  <si>
    <t>D270</t>
  </si>
  <si>
    <t>D271</t>
  </si>
  <si>
    <t>D272</t>
  </si>
  <si>
    <t>D273</t>
  </si>
  <si>
    <t>D274</t>
  </si>
  <si>
    <t>D275</t>
  </si>
  <si>
    <t>D276</t>
  </si>
  <si>
    <t>D277</t>
  </si>
  <si>
    <t>D278</t>
  </si>
  <si>
    <t>D279</t>
  </si>
  <si>
    <t>D280</t>
  </si>
  <si>
    <t>D281</t>
  </si>
  <si>
    <t>D282</t>
  </si>
  <si>
    <t>D283</t>
  </si>
  <si>
    <t>D284</t>
  </si>
  <si>
    <t>D285</t>
  </si>
  <si>
    <t>D286</t>
  </si>
  <si>
    <t>D287</t>
  </si>
  <si>
    <t>D288</t>
  </si>
  <si>
    <t>D289</t>
  </si>
  <si>
    <t>D290</t>
  </si>
  <si>
    <t>D291</t>
  </si>
  <si>
    <t>D292</t>
  </si>
  <si>
    <t>D293</t>
  </si>
  <si>
    <t>D294</t>
  </si>
  <si>
    <t>D295</t>
  </si>
  <si>
    <t>D296</t>
  </si>
  <si>
    <t>D297</t>
  </si>
  <si>
    <t>D298</t>
  </si>
  <si>
    <t>D299</t>
  </si>
  <si>
    <t>D300</t>
  </si>
  <si>
    <t>D301</t>
  </si>
  <si>
    <t>D302</t>
  </si>
  <si>
    <t>D303</t>
  </si>
  <si>
    <t>D304</t>
  </si>
  <si>
    <t>D305</t>
  </si>
  <si>
    <t>D306</t>
  </si>
  <si>
    <t>D307</t>
  </si>
  <si>
    <t>D308</t>
  </si>
  <si>
    <t>D309</t>
  </si>
  <si>
    <t>D310</t>
  </si>
  <si>
    <t>D311</t>
  </si>
  <si>
    <t>D312</t>
  </si>
  <si>
    <t>D313</t>
  </si>
  <si>
    <t>D314</t>
  </si>
  <si>
    <t>D315</t>
  </si>
  <si>
    <t>D316</t>
  </si>
  <si>
    <t>D317</t>
  </si>
  <si>
    <t>D318</t>
  </si>
  <si>
    <t>D319</t>
  </si>
  <si>
    <t>D320</t>
  </si>
  <si>
    <t>D321</t>
  </si>
  <si>
    <t>D322</t>
  </si>
  <si>
    <t>D323</t>
  </si>
  <si>
    <t>D324</t>
  </si>
  <si>
    <t>D325</t>
  </si>
  <si>
    <t>D326</t>
  </si>
  <si>
    <t>D327</t>
  </si>
  <si>
    <t>D328</t>
  </si>
  <si>
    <t>D329</t>
  </si>
  <si>
    <t>D330</t>
  </si>
  <si>
    <t>D331</t>
  </si>
  <si>
    <t>D332</t>
  </si>
  <si>
    <t>D333</t>
  </si>
  <si>
    <t>D334</t>
  </si>
  <si>
    <t>D335</t>
  </si>
  <si>
    <t>D336</t>
  </si>
  <si>
    <t>D337</t>
  </si>
  <si>
    <t>D338</t>
  </si>
  <si>
    <t>D339</t>
  </si>
  <si>
    <t>D340</t>
  </si>
  <si>
    <t>D341</t>
  </si>
  <si>
    <t>D342</t>
  </si>
  <si>
    <t>D343</t>
  </si>
  <si>
    <t>D344</t>
  </si>
  <si>
    <t>D345</t>
  </si>
  <si>
    <t>D346</t>
  </si>
  <si>
    <t>D347</t>
  </si>
  <si>
    <t>D348</t>
  </si>
  <si>
    <t>D349</t>
  </si>
  <si>
    <t>D350</t>
  </si>
  <si>
    <t>D351</t>
  </si>
  <si>
    <t>D352</t>
  </si>
  <si>
    <t>D353</t>
  </si>
  <si>
    <t>D354</t>
  </si>
  <si>
    <t>D355</t>
  </si>
  <si>
    <t>D356</t>
  </si>
  <si>
    <t>D357</t>
  </si>
  <si>
    <t>D358</t>
  </si>
  <si>
    <t>D359</t>
  </si>
  <si>
    <t>D360</t>
  </si>
  <si>
    <t>D361</t>
  </si>
  <si>
    <t>D362</t>
  </si>
  <si>
    <t>D363</t>
  </si>
  <si>
    <t>D364</t>
  </si>
  <si>
    <t>D365</t>
  </si>
  <si>
    <t>D366</t>
  </si>
  <si>
    <t>D367</t>
  </si>
  <si>
    <t>D368</t>
  </si>
  <si>
    <t>D369</t>
  </si>
  <si>
    <t>D370</t>
  </si>
  <si>
    <t>D371</t>
  </si>
  <si>
    <t>D372</t>
  </si>
  <si>
    <t>D373</t>
  </si>
  <si>
    <t>D374</t>
  </si>
  <si>
    <t>D375</t>
  </si>
  <si>
    <t>D376</t>
  </si>
  <si>
    <t>D377</t>
  </si>
  <si>
    <t>D378</t>
  </si>
  <si>
    <t>D379</t>
  </si>
  <si>
    <t>D380</t>
  </si>
  <si>
    <t>D381</t>
  </si>
  <si>
    <t>D382</t>
  </si>
  <si>
    <t>D383</t>
  </si>
  <si>
    <t>D384</t>
  </si>
  <si>
    <t>D385</t>
  </si>
  <si>
    <t>D386</t>
  </si>
  <si>
    <t>D387</t>
  </si>
  <si>
    <t>D388</t>
  </si>
  <si>
    <t>D389</t>
  </si>
  <si>
    <t>D390</t>
  </si>
  <si>
    <t>D391</t>
  </si>
  <si>
    <t>D392</t>
  </si>
  <si>
    <t>D393</t>
  </si>
  <si>
    <t>D394</t>
  </si>
  <si>
    <t>D395</t>
  </si>
  <si>
    <t>D396</t>
  </si>
  <si>
    <t>D397</t>
  </si>
  <si>
    <t>D398</t>
  </si>
  <si>
    <t>D399</t>
  </si>
  <si>
    <t>D400</t>
  </si>
  <si>
    <t>D401</t>
  </si>
  <si>
    <t>D402</t>
  </si>
  <si>
    <t>D403</t>
  </si>
  <si>
    <t>D404</t>
  </si>
  <si>
    <t>D405</t>
  </si>
  <si>
    <t>D406</t>
  </si>
  <si>
    <t>D407</t>
  </si>
  <si>
    <t>D408</t>
  </si>
  <si>
    <t>D409</t>
  </si>
  <si>
    <t>D410</t>
  </si>
  <si>
    <t>D411</t>
  </si>
  <si>
    <t>D412</t>
  </si>
  <si>
    <t>D413</t>
  </si>
  <si>
    <t>D414</t>
  </si>
  <si>
    <t>D415</t>
  </si>
  <si>
    <t>D416</t>
  </si>
  <si>
    <t>D417</t>
  </si>
  <si>
    <t>D418</t>
  </si>
  <si>
    <t>D419</t>
  </si>
  <si>
    <t>D420</t>
  </si>
  <si>
    <t>D421</t>
  </si>
  <si>
    <t>D422</t>
  </si>
  <si>
    <t>D423</t>
  </si>
  <si>
    <t>D424</t>
  </si>
  <si>
    <t>D425</t>
  </si>
  <si>
    <t>D426</t>
  </si>
  <si>
    <t>D427</t>
  </si>
  <si>
    <t>D428</t>
  </si>
  <si>
    <t>D429</t>
  </si>
  <si>
    <t>D430</t>
  </si>
  <si>
    <t>D431</t>
  </si>
  <si>
    <t>D432</t>
  </si>
  <si>
    <t>D433</t>
  </si>
  <si>
    <t>D434</t>
  </si>
  <si>
    <t>D435</t>
  </si>
  <si>
    <t>D436</t>
  </si>
  <si>
    <t>D437</t>
  </si>
  <si>
    <t>D438</t>
  </si>
  <si>
    <t>D439</t>
  </si>
  <si>
    <t>D440</t>
  </si>
  <si>
    <t>D441</t>
  </si>
  <si>
    <t>D442</t>
  </si>
  <si>
    <t>D443</t>
  </si>
  <si>
    <t>D444</t>
  </si>
  <si>
    <t>D445</t>
  </si>
  <si>
    <t>D446</t>
  </si>
  <si>
    <t>D447</t>
  </si>
  <si>
    <t>D448</t>
  </si>
  <si>
    <t>D449</t>
  </si>
  <si>
    <t>D450</t>
  </si>
  <si>
    <t>D451</t>
  </si>
  <si>
    <t>D452</t>
  </si>
  <si>
    <t>D453</t>
  </si>
  <si>
    <t>D454</t>
  </si>
  <si>
    <t>D455</t>
  </si>
  <si>
    <t>D456</t>
  </si>
  <si>
    <t>D457</t>
  </si>
  <si>
    <t>D458</t>
  </si>
  <si>
    <t>D459</t>
  </si>
  <si>
    <t>D460</t>
  </si>
  <si>
    <t>D461</t>
  </si>
  <si>
    <t>D462</t>
  </si>
  <si>
    <t>D463</t>
  </si>
  <si>
    <t>D464</t>
  </si>
  <si>
    <t>D465</t>
  </si>
  <si>
    <t>D466</t>
  </si>
  <si>
    <t>D467</t>
  </si>
  <si>
    <t>D468</t>
  </si>
  <si>
    <t>D469</t>
  </si>
  <si>
    <t>D470</t>
  </si>
  <si>
    <t>D471</t>
  </si>
  <si>
    <t>D472</t>
  </si>
  <si>
    <t>D473</t>
  </si>
  <si>
    <t>D474</t>
  </si>
  <si>
    <t>D475</t>
  </si>
  <si>
    <t>D476</t>
  </si>
  <si>
    <t>D477</t>
  </si>
  <si>
    <t>D478</t>
  </si>
  <si>
    <t>D479</t>
  </si>
  <si>
    <t>D480</t>
  </si>
  <si>
    <t>D481</t>
  </si>
  <si>
    <t>D482</t>
  </si>
  <si>
    <t>D483</t>
  </si>
  <si>
    <t>D484</t>
  </si>
  <si>
    <t>D485</t>
  </si>
  <si>
    <t>D486</t>
  </si>
  <si>
    <t>D487</t>
  </si>
  <si>
    <t>D488</t>
  </si>
  <si>
    <t>D489</t>
  </si>
  <si>
    <t>D490</t>
  </si>
  <si>
    <t>D491</t>
  </si>
  <si>
    <t>D492</t>
  </si>
  <si>
    <t>D493</t>
  </si>
  <si>
    <t>D494</t>
  </si>
  <si>
    <t>D495</t>
  </si>
  <si>
    <t>D496</t>
  </si>
  <si>
    <t>D497</t>
  </si>
  <si>
    <t>D498</t>
  </si>
  <si>
    <t>D499</t>
  </si>
  <si>
    <t>D500</t>
  </si>
  <si>
    <t>D501</t>
  </si>
  <si>
    <t>D502</t>
  </si>
  <si>
    <t>D503</t>
  </si>
  <si>
    <t>D504</t>
  </si>
  <si>
    <t>D505</t>
  </si>
  <si>
    <t>D506</t>
  </si>
  <si>
    <t>D507</t>
  </si>
  <si>
    <t>D508</t>
  </si>
  <si>
    <t>D509</t>
  </si>
  <si>
    <t>D510</t>
  </si>
  <si>
    <t>D511</t>
  </si>
  <si>
    <t>D512</t>
  </si>
  <si>
    <t>D513</t>
  </si>
  <si>
    <t>D514</t>
  </si>
  <si>
    <t>D515</t>
  </si>
  <si>
    <t>D516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</si>
  <si>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</si>
  <si>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</si>
  <si>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</si>
  <si>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</si>
  <si>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</si>
  <si>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</si>
  <si>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</si>
  <si>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</si>
  <si>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</si>
  <si>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</si>
  <si>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</si>
  <si>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</si>
  <si>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</si>
  <si>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</si>
  <si>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</si>
  <si>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</si>
  <si>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</si>
  <si>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</si>
  <si>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</si>
  <si>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</si>
  <si>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</si>
  <si>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</si>
  <si>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</si>
  <si>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</si>
  <si>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</si>
  <si>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</si>
  <si>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</si>
  <si>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</si>
  <si>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</si>
  <si>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</si>
  <si>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</si>
  <si>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</si>
  <si>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</si>
  <si>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</si>
  <si>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</si>
  <si>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</si>
  <si>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</si>
  <si>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</si>
  <si>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</si>
  <si>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</si>
  <si>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</si>
  <si>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</si>
  <si>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</si>
  <si>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</si>
  <si>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</si>
  <si>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</si>
  <si>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</si>
  <si>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</si>
  <si>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</si>
  <si>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</si>
  <si>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</si>
  <si>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</si>
  <si>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</si>
  <si>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</si>
  <si>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</si>
  <si>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</si>
  <si>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</si>
  <si>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</si>
  <si>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</si>
  <si>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</si>
  <si>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</si>
  <si>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</si>
  <si>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</si>
  <si>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</si>
  <si>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</si>
  <si>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</si>
  <si>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</si>
  <si>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</si>
  <si>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</si>
  <si>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</si>
  <si>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</si>
  <si>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</si>
  <si>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</si>
  <si>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</si>
  <si>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</si>
  <si>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</si>
  <si>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</si>
  <si>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</si>
  <si>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</si>
  <si>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</si>
  <si>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</si>
  <si>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</si>
  <si>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</si>
  <si>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</si>
  <si>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</si>
  <si>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</si>
  <si>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</si>
  <si>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</si>
  <si>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</si>
  <si>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</si>
  <si>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</si>
  <si>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</si>
  <si>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M1</t>
  </si>
  <si>
    <t>M2</t>
  </si>
  <si>
    <t>M3</t>
  </si>
  <si>
    <t>D517</t>
  </si>
  <si>
    <t>D518</t>
  </si>
  <si>
    <t>D519</t>
  </si>
  <si>
    <t>D520</t>
  </si>
  <si>
    <t>D521</t>
  </si>
  <si>
    <t>D522</t>
  </si>
  <si>
    <t>D523</t>
  </si>
  <si>
    <t>D524</t>
  </si>
  <si>
    <t>D525</t>
  </si>
  <si>
    <t>D526</t>
  </si>
  <si>
    <t>D527</t>
  </si>
  <si>
    <t>D528</t>
  </si>
  <si>
    <t>D529</t>
  </si>
  <si>
    <t>D530</t>
  </si>
  <si>
    <t>D531</t>
  </si>
  <si>
    <t>D532</t>
  </si>
  <si>
    <t>D533</t>
  </si>
  <si>
    <t>D534</t>
  </si>
  <si>
    <t>D535</t>
  </si>
  <si>
    <t>D536</t>
  </si>
  <si>
    <t>D537</t>
  </si>
  <si>
    <t>D538</t>
  </si>
  <si>
    <t>D539</t>
  </si>
  <si>
    <t>D540</t>
  </si>
  <si>
    <t>D541</t>
  </si>
  <si>
    <t>D542</t>
  </si>
  <si>
    <t>D543</t>
  </si>
  <si>
    <t>D544</t>
  </si>
  <si>
    <t>D545</t>
  </si>
  <si>
    <t>D546</t>
  </si>
  <si>
    <t>D547</t>
  </si>
  <si>
    <t>D548</t>
  </si>
  <si>
    <t>D549</t>
  </si>
  <si>
    <t>D550</t>
  </si>
  <si>
    <t>D551</t>
  </si>
  <si>
    <t>D552</t>
  </si>
  <si>
    <t>D553</t>
  </si>
  <si>
    <t>D554</t>
  </si>
  <si>
    <t>D555</t>
  </si>
  <si>
    <t>D556</t>
  </si>
  <si>
    <t>D557</t>
  </si>
  <si>
    <t>D558</t>
  </si>
  <si>
    <t>D559</t>
  </si>
  <si>
    <t>D560</t>
  </si>
  <si>
    <t>D561</t>
  </si>
  <si>
    <t>D562</t>
  </si>
  <si>
    <t>D563</t>
  </si>
  <si>
    <t>D564</t>
  </si>
  <si>
    <t>D565</t>
  </si>
  <si>
    <t>D566</t>
  </si>
  <si>
    <t>D567</t>
  </si>
  <si>
    <t>D568</t>
  </si>
  <si>
    <t>D569</t>
  </si>
  <si>
    <t>D570</t>
  </si>
  <si>
    <t>D571</t>
  </si>
  <si>
    <t>D572</t>
  </si>
  <si>
    <t>D573</t>
  </si>
  <si>
    <t>D574</t>
  </si>
  <si>
    <t>D575</t>
  </si>
  <si>
    <t>D576</t>
  </si>
  <si>
    <t>D577</t>
  </si>
  <si>
    <t>D578</t>
  </si>
  <si>
    <t>D579</t>
  </si>
  <si>
    <t>D580</t>
  </si>
  <si>
    <t>D581</t>
  </si>
  <si>
    <t>D582</t>
  </si>
  <si>
    <t>D583</t>
  </si>
  <si>
    <t>D584</t>
  </si>
  <si>
    <t>D585</t>
  </si>
  <si>
    <t>D586</t>
  </si>
  <si>
    <t>D587</t>
  </si>
  <si>
    <t>D588</t>
  </si>
  <si>
    <t>D589</t>
  </si>
  <si>
    <t>D590</t>
  </si>
  <si>
    <t>D591</t>
  </si>
  <si>
    <t>D592</t>
  </si>
  <si>
    <t>D593</t>
  </si>
  <si>
    <t>D594</t>
  </si>
  <si>
    <t>D595</t>
  </si>
  <si>
    <t>D596</t>
  </si>
  <si>
    <t>D597</t>
  </si>
  <si>
    <t>D598</t>
  </si>
  <si>
    <t>D599</t>
  </si>
  <si>
    <t>D600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</si>
  <si>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</si>
  <si>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</si>
  <si>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</si>
  <si>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</si>
  <si>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</si>
  <si>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</si>
  <si>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</si>
  <si>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</si>
  <si>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</si>
  <si>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</si>
  <si>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C1</t>
  </si>
  <si>
    <t>C2</t>
  </si>
  <si>
    <t>S1</t>
  </si>
  <si>
    <t>P1</t>
  </si>
  <si>
    <t>S2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</si>
  <si>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</si>
  <si>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</si>
  <si>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</si>
  <si>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</si>
  <si>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</si>
  <si>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</si>
  <si>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</si>
  <si>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</si>
  <si>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</si>
  <si>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</si>
  <si>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</si>
  <si>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</si>
  <si>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</si>
  <si>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</si>
  <si>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</si>
  <si>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</si>
  <si>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</si>
  <si>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</si>
  <si>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</si>
  <si>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</si>
  <si>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</si>
  <si>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</si>
  <si>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</si>
  <si>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</si>
  <si>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</si>
  <si>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</si>
  <si>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</si>
  <si>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</si>
  <si>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</si>
  <si>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</si>
  <si>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</si>
  <si>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</si>
  <si>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</si>
  <si>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</si>
  <si>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</si>
  <si>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</si>
  <si>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</si>
  <si>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</si>
  <si>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</si>
  <si>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</si>
  <si>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</si>
  <si>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</si>
  <si>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</si>
  <si>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</si>
  <si>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</si>
  <si>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</si>
  <si>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</si>
  <si>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</si>
  <si>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</si>
  <si>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</si>
  <si>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</si>
  <si>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</si>
  <si>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</si>
  <si>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</si>
  <si>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C3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</si>
  <si>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</si>
  <si>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</si>
  <si>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</si>
  <si>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</si>
  <si>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</si>
  <si>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</si>
  <si>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</si>
  <si>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</si>
  <si>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</si>
  <si>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</si>
  <si>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</si>
  <si>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</si>
  <si>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</si>
  <si>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</si>
  <si>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</si>
  <si>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</si>
  <si>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</si>
  <si>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</si>
  <si>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</si>
  <si>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</si>
  <si>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</si>
  <si>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</si>
  <si>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</si>
  <si>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</si>
  <si>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</si>
  <si>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</si>
  <si>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</si>
  <si>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</si>
  <si>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</si>
  <si>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</si>
  <si>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</si>
  <si>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</si>
  <si>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</si>
  <si>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</si>
  <si>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</si>
  <si>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</si>
  <si>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</si>
  <si>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</si>
  <si>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</si>
  <si>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</si>
  <si>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</si>
  <si>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</si>
  <si>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</si>
  <si>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</si>
  <si>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</si>
  <si>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</si>
  <si>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</si>
  <si>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</si>
  <si>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</si>
  <si>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</si>
  <si>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</si>
  <si>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</si>
  <si>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</si>
  <si>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</si>
  <si>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</si>
  <si>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</si>
  <si>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</si>
  <si>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</si>
  <si>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</si>
  <si>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</si>
  <si>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</si>
  <si>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</si>
  <si>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</si>
  <si>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</si>
  <si>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</si>
  <si>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</si>
  <si>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</si>
  <si>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</si>
  <si>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</si>
  <si>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</si>
  <si>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</si>
  <si>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</si>
  <si>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</si>
  <si>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</si>
  <si>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</si>
  <si>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</si>
  <si>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</si>
  <si>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</si>
  <si>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</si>
  <si>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</si>
  <si>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</si>
  <si>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</si>
  <si>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</si>
  <si>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</si>
  <si>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</si>
  <si>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</si>
  <si>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</si>
  <si>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</si>
  <si>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</si>
  <si>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</si>
  <si>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</si>
  <si>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</si>
  <si>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</si>
  <si>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</si>
  <si>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</si>
  <si>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</si>
  <si>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</si>
  <si>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</si>
  <si>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</si>
  <si>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</si>
  <si>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</si>
  <si>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</si>
  <si>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</si>
  <si>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</si>
  <si>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</si>
  <si>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</si>
  <si>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</si>
  <si>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</si>
  <si>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</si>
  <si>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</si>
  <si>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</si>
  <si>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</si>
  <si>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</si>
  <si>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</si>
  <si>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</si>
  <si>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</si>
  <si>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</si>
  <si>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</si>
  <si>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</si>
  <si>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</si>
  <si>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</si>
  <si>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</si>
  <si>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</si>
  <si>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</si>
  <si>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</si>
  <si>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</si>
  <si>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</si>
  <si>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</si>
  <si>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</si>
  <si>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</si>
  <si>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</si>
  <si>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</si>
  <si>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</si>
  <si>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</si>
  <si>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</si>
  <si>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</si>
  <si>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</si>
  <si>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</si>
  <si>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</si>
  <si>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</si>
  <si>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</si>
  <si>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</si>
  <si>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</si>
  <si>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</si>
  <si>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</si>
  <si>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</si>
  <si>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</si>
  <si>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</si>
  <si>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</si>
  <si>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</si>
  <si>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</si>
  <si>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</si>
  <si>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</si>
  <si>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</si>
  <si>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</si>
  <si>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</si>
  <si>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</si>
  <si>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</si>
  <si>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</si>
  <si>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</si>
  <si>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</si>
  <si>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</si>
  <si>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</si>
  <si>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</si>
  <si>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</si>
  <si>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</si>
  <si>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</si>
  <si>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</si>
  <si>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</si>
  <si>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</si>
  <si>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</si>
  <si>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</si>
  <si>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</si>
  <si>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</si>
  <si>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</si>
  <si>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</si>
  <si>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</si>
  <si>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</si>
  <si>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</si>
  <si>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</si>
  <si>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</si>
  <si>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</si>
  <si>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</si>
  <si>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</si>
  <si>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</si>
  <si>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</si>
  <si>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</si>
  <si>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</si>
  <si>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</si>
  <si>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</si>
  <si>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</si>
  <si>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w1</t>
  </si>
  <si>
    <t>w2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</si>
  <si>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</si>
  <si>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</si>
  <si>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</si>
  <si>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</si>
  <si>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</si>
  <si>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</si>
  <si>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</si>
  <si>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</si>
  <si>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</si>
  <si>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</si>
  <si>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</si>
  <si>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</si>
  <si>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</si>
  <si>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</si>
  <si>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</si>
  <si>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</si>
  <si>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</si>
  <si>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</si>
  <si>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</si>
  <si>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</si>
  <si>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</si>
  <si>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</si>
  <si>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</si>
  <si>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</si>
  <si>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</si>
  <si>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</si>
  <si>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</si>
  <si>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</si>
  <si>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</si>
  <si>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</si>
  <si>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</si>
  <si>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</si>
  <si>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</si>
  <si>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</si>
  <si>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</si>
  <si>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</si>
  <si>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</si>
  <si>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</si>
  <si>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</si>
  <si>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</si>
  <si>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</si>
  <si>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</si>
  <si>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</si>
  <si>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</si>
  <si>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</si>
  <si>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</si>
  <si>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</si>
  <si>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</si>
  <si>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</si>
  <si>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</si>
  <si>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</si>
  <si>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</si>
  <si>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</si>
  <si>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</si>
  <si>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</si>
  <si>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</si>
  <si>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</si>
  <si>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</si>
  <si>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</si>
  <si>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</si>
  <si>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</si>
  <si>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</si>
  <si>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</si>
  <si>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</si>
  <si>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</si>
  <si>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</si>
  <si>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</si>
  <si>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</si>
  <si>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</si>
  <si>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</si>
  <si>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</si>
  <si>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</si>
  <si>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</si>
  <si>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</si>
  <si>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</si>
  <si>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</si>
  <si>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</si>
  <si>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Item name</t>
  </si>
  <si>
    <t>Mode</t>
  </si>
  <si>
    <t>IGNORE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</si>
</sst>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&quot;₹&quot;\ #,##0"/>
    <numFmt numFmtId="166" formatCode="[$-14009]dd/mmm/yy;@"/>
    <numFmt numFmtId="167" formatCode="[&lt;=9999999]###\-####;\(###\)\ ###\-####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4" tint="-0.24994659260841701"/>
      <name val="Calibri"/>
      <family val="2"/>
      <scheme val="maj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5" tint="-0.2499465926084170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465926084170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wrapText="1"/>
    </xf>
    <xf numFmtId="164" fontId="1" fillId="0" borderId="0" applyFont="0" applyFill="0" applyBorder="0" applyAlignment="0" applyProtection="0"/>
    <xf numFmtId="0" fontId="2" fillId="0" borderId="0" applyNumberFormat="0" applyFill="0" applyBorder="0" applyProtection="0"/>
    <xf numFmtId="14" fontId="1" fillId="0" borderId="0" applyFont="0" applyFill="0" applyBorder="0" applyAlignment="0">
      <alignment wrapText="1"/>
    </xf>
    <xf numFmtId="167" fontId="11" fillId="0" borderId="0" applyFont="0" applyFill="0" applyBorder="0" applyAlignment="0">
      <alignment horizontal="left" wrapText="1"/>
    </xf>
    <xf numFmtId="0" fontId="11" fillId="0" borderId="0" applyNumberFormat="0" applyFont="0" applyFill="0" applyBorder="0">
      <alignment horizontal="left" indent="8"/>
    </xf>
  </cellStyleXfs>
  <cellXfs count="58">
    <xf numFmtId="0" fontId="0" fillId="0" borderId="0" xfId="0">
      <alignment wrapText="1"/>
    </xf>
    <xf numFmtId="0" fontId="0" fillId="0" borderId="0" xfId="0" applyProtection="1">
      <alignment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</xf>
    <xf numFmtId="166" fontId="4" fillId="6" borderId="1" xfId="3" applyNumberFormat="1" applyFont="1" applyFill="1" applyBorder="1" applyAlignment="1" applyProtection="1">
      <alignment horizontal="center" vertical="center" wrapText="1"/>
    </xf>
    <xf numFmtId="165" fontId="4" fillId="6" borderId="1" xfId="0" applyNumberFormat="1" applyFont="1" applyFill="1" applyBorder="1" applyAlignment="1" applyProtection="1">
      <alignment horizontal="center" vertical="center" wrapText="1"/>
    </xf>
    <xf numFmtId="165" fontId="4" fillId="6" borderId="1" xfId="1" applyNumberFormat="1" applyFont="1" applyFill="1" applyBorder="1" applyAlignment="1" applyProtection="1">
      <alignment horizontal="center" vertical="center" wrapText="1"/>
    </xf>
    <xf numFmtId="0" fontId="7" fillId="2" borderId="7" xfId="0" applyFont="1" applyFill="1" applyBorder="1" applyAlignment="1" applyProtection="1">
      <alignment horizontal="center" vertical="center" wrapText="1"/>
    </xf>
    <xf numFmtId="166" fontId="7" fillId="2" borderId="3" xfId="0" applyNumberFormat="1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 vertical="center" wrapText="1"/>
    </xf>
    <xf numFmtId="165" fontId="7" fillId="2" borderId="3" xfId="0" applyNumberFormat="1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0" fillId="0" borderId="0" xfId="0" applyFill="1" applyProtection="1">
      <alignment wrapText="1"/>
      <protection locked="0"/>
    </xf>
    <xf numFmtId="0" fontId="0" fillId="0" borderId="1" xfId="0" applyBorder="1" applyProtection="1">
      <alignment wrapText="1"/>
      <protection locked="0"/>
    </xf>
    <xf numFmtId="1" fontId="0" fillId="0" borderId="1" xfId="0" applyNumberFormat="1" applyBorder="1" applyProtection="1">
      <alignment wrapText="1"/>
      <protection locked="0"/>
    </xf>
    <xf numFmtId="0" fontId="12" fillId="4" borderId="1" xfId="0" applyFont="1" applyFill="1" applyBorder="1" applyAlignment="1" applyProtection="1">
      <alignment horizontal="center" vertical="center" wrapText="1"/>
    </xf>
    <xf numFmtId="14" fontId="0" fillId="0" borderId="1" xfId="0" applyNumberFormat="1" applyBorder="1" applyProtection="1">
      <alignment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</xf>
    <xf numFmtId="14" fontId="9" fillId="2" borderId="1" xfId="0" applyNumberFormat="1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/>
    </xf>
    <xf numFmtId="165" fontId="9" fillId="2" borderId="1" xfId="0" applyNumberFormat="1" applyFont="1" applyFill="1" applyBorder="1" applyAlignment="1" applyProtection="1">
      <alignment horizontal="center" vertical="center"/>
    </xf>
    <xf numFmtId="0" fontId="7" fillId="5" borderId="1" xfId="0" applyFont="1" applyFill="1" applyBorder="1" applyProtection="1">
      <alignment wrapText="1"/>
    </xf>
    <xf numFmtId="14" fontId="7" fillId="5" borderId="1" xfId="0" applyNumberFormat="1" applyFont="1" applyFill="1" applyBorder="1" applyProtection="1">
      <alignment wrapText="1"/>
    </xf>
    <xf numFmtId="165" fontId="7" fillId="5" borderId="1" xfId="0" applyNumberFormat="1" applyFont="1" applyFill="1" applyBorder="1" applyProtection="1">
      <alignment wrapText="1"/>
    </xf>
    <xf numFmtId="165" fontId="8" fillId="5" borderId="1" xfId="0" applyNumberFormat="1" applyFont="1" applyFill="1" applyBorder="1" applyProtection="1">
      <alignment wrapText="1"/>
    </xf>
    <xf numFmtId="0" fontId="5" fillId="0" borderId="1" xfId="0" applyFont="1" applyBorder="1" applyProtection="1">
      <alignment wrapText="1"/>
      <protection locked="0"/>
    </xf>
    <xf numFmtId="1" fontId="5" fillId="0" borderId="1" xfId="0" applyNumberFormat="1" applyFont="1" applyBorder="1" applyProtection="1">
      <alignment wrapText="1"/>
      <protection locked="0"/>
    </xf>
    <xf numFmtId="0" fontId="3" fillId="3" borderId="1" xfId="0" applyFont="1" applyFill="1" applyBorder="1" applyProtection="1">
      <alignment wrapText="1"/>
    </xf>
    <xf numFmtId="1" fontId="3" fillId="3" borderId="1" xfId="0" applyNumberFormat="1" applyFont="1" applyFill="1" applyBorder="1" applyProtection="1">
      <alignment wrapText="1"/>
    </xf>
    <xf numFmtId="0" fontId="5" fillId="4" borderId="1" xfId="0" applyFont="1" applyFill="1" applyBorder="1" applyProtection="1">
      <alignment wrapText="1"/>
    </xf>
    <xf numFmtId="1" fontId="5" fillId="4" borderId="1" xfId="0" applyNumberFormat="1" applyFont="1" applyFill="1" applyBorder="1" applyProtection="1">
      <alignment wrapText="1"/>
    </xf>
    <xf numFmtId="0" fontId="0" fillId="4" borderId="1" xfId="0" applyFill="1" applyBorder="1" applyProtection="1">
      <alignment wrapText="1"/>
    </xf>
    <xf numFmtId="0" fontId="4" fillId="0" borderId="0" xfId="0" applyFont="1" applyProtection="1">
      <alignment wrapText="1"/>
    </xf>
    <xf numFmtId="0" fontId="0" fillId="0" borderId="0" xfId="0" applyProtection="1">
      <alignment wrapText="1"/>
    </xf>
    <xf numFmtId="0" fontId="14" fillId="7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 applyProtection="1">
      <alignment horizontal="center" wrapText="1"/>
    </xf>
    <xf numFmtId="0" fontId="13" fillId="8" borderId="1" xfId="0" applyFont="1" applyFill="1" applyBorder="1" applyProtection="1">
      <alignment wrapText="1"/>
    </xf>
    <xf numFmtId="0" fontId="13" fillId="8" borderId="1" xfId="0" applyFont="1" applyFill="1" applyBorder="1" applyAlignment="1" applyProtection="1">
      <alignment horizontal="center" wrapText="1"/>
    </xf>
    <xf numFmtId="0" fontId="7" fillId="9" borderId="1" xfId="0" applyFont="1" applyFill="1" applyBorder="1" applyAlignment="1" applyProtection="1">
      <alignment horizontal="center" wrapText="1"/>
    </xf>
    <xf numFmtId="0" fontId="7" fillId="9" borderId="1" xfId="0" applyFont="1" applyFill="1" applyBorder="1" applyProtection="1">
      <alignment wrapText="1"/>
    </xf>
    <xf numFmtId="0" fontId="13" fillId="5" borderId="1" xfId="0" applyFont="1" applyFill="1" applyBorder="1" applyAlignment="1" applyProtection="1">
      <alignment horizontal="center" vertical="center" wrapText="1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 wrapText="1"/>
    </xf>
    <xf numFmtId="1" fontId="13" fillId="5" borderId="1" xfId="0" applyNumberFormat="1" applyFont="1" applyFill="1" applyBorder="1" applyAlignment="1" applyProtection="1">
      <alignment horizontal="center" vertical="center" wrapText="1"/>
    </xf>
    <xf numFmtId="1" fontId="13" fillId="0" borderId="1" xfId="0" applyNumberFormat="1" applyFont="1" applyBorder="1" applyAlignment="1" applyProtection="1">
      <alignment horizontal="center" vertical="center" wrapText="1"/>
      <protection locked="0"/>
    </xf>
    <xf numFmtId="0" fontId="7" fillId="4" borderId="7" xfId="0" applyFont="1" applyFill="1" applyBorder="1" applyAlignment="1" applyProtection="1">
      <alignment horizontal="center" vertical="center" wrapText="1"/>
    </xf>
    <xf numFmtId="166" fontId="7" fillId="4" borderId="3" xfId="0" applyNumberFormat="1" applyFont="1" applyFill="1" applyBorder="1" applyAlignment="1" applyProtection="1">
      <alignment horizontal="center" vertical="center" wrapText="1"/>
    </xf>
    <xf numFmtId="0" fontId="7" fillId="4" borderId="3" xfId="0" applyFont="1" applyFill="1" applyBorder="1" applyAlignment="1" applyProtection="1">
      <alignment horizontal="center" vertical="center" wrapText="1"/>
    </xf>
    <xf numFmtId="165" fontId="7" fillId="4" borderId="3" xfId="0" applyNumberFormat="1" applyFont="1" applyFill="1" applyBorder="1" applyAlignment="1" applyProtection="1">
      <alignment horizontal="center" vertical="center" wrapText="1"/>
    </xf>
    <xf numFmtId="0" fontId="7" fillId="4" borderId="4" xfId="0" applyFont="1" applyFill="1" applyBorder="1" applyAlignment="1" applyProtection="1">
      <alignment horizontal="center" vertical="center" wrapText="1"/>
    </xf>
    <xf numFmtId="0" fontId="15" fillId="4" borderId="1" xfId="0" applyFont="1" applyFill="1" applyBorder="1" applyAlignment="1" applyProtection="1">
      <alignment horizontal="center" vertical="center" wrapText="1"/>
    </xf>
    <xf numFmtId="1" fontId="15" fillId="4" borderId="1" xfId="0" applyNumberFormat="1" applyFont="1" applyFill="1" applyBorder="1" applyAlignment="1" applyProtection="1">
      <alignment horizontal="center" vertical="center" wrapText="1"/>
    </xf>
    <xf numFmtId="0" fontId="2" fillId="0" borderId="2" xfId="2" applyBorder="1" applyAlignment="1" applyProtection="1">
      <alignment horizontal="center" vertical="center"/>
    </xf>
    <xf numFmtId="0" fontId="2" fillId="0" borderId="5" xfId="2" applyBorder="1" applyAlignment="1" applyProtection="1">
      <alignment horizontal="center" vertical="center"/>
    </xf>
    <xf numFmtId="0" fontId="2" fillId="0" borderId="6" xfId="2" applyBorder="1" applyAlignment="1" applyProtection="1">
      <alignment horizontal="center" vertical="center"/>
    </xf>
  </cellXfs>
  <cellStyles count="6">
    <cellStyle name="Currency" xfId="1" builtinId="4"/>
    <cellStyle name="Date" xfId="3" xr:uid="{00000000-0005-0000-0000-000002000000}"/>
    <cellStyle name="Invoice Company Phone" xfId="4" xr:uid="{00000000-0005-0000-0000-000009000000}"/>
    <cellStyle name="Left Indent" xfId="5" xr:uid="{00000000-0005-0000-0000-00000A000000}"/>
    <cellStyle name="Normal" xfId="0" builtinId="0" customBuiltin="1"/>
    <cellStyle name="Title" xfId="2" builtinId="15" customBuiltin="1"/>
  </cellStyles>
  <dxfs count="12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53340</xdr:rowOff>
        </xdr:from>
        <xdr:to>
          <xdr:col>6</xdr:col>
          <xdr:colOff>167640</xdr:colOff>
          <xdr:row>0</xdr:row>
          <xdr:rowOff>525780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re%20Invoi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Page"/>
      <sheetName val="CancelBill"/>
      <sheetName val="Lookup"/>
    </sheetNames>
    <definedNames>
      <definedName name="carry"/>
    </definedNames>
    <sheetDataSet>
      <sheetData sheetId="0" refreshError="1"/>
      <sheetData sheetId="1" refreshError="1"/>
      <sheetData sheetId="2">
        <row r="2">
          <cell r="A2" t="str">
            <v>Card</v>
          </cell>
        </row>
        <row r="3">
          <cell r="A3" t="str">
            <v>Cash</v>
          </cell>
        </row>
        <row r="4">
          <cell r="A4" t="str">
            <v>Phonepe</v>
          </cell>
        </row>
        <row r="5">
          <cell r="A5" t="str">
            <v>Gpay</v>
          </cell>
        </row>
        <row r="6">
          <cell r="A6" t="str">
            <v>Online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60E21-6942-411E-8B51-6D7EE5D95588}" name="Table1" displayName="Table1" ref="A2:G3" totalsRowShown="0" headerRowDxfId="11" dataDxfId="9" headerRowBorderDxfId="10" tableBorderDxfId="8" totalsRowBorderDxfId="7">
  <autoFilter ref="A2:G3" xr:uid="{3FD60E21-6942-411E-8B51-6D7EE5D95588}"/>
  <tableColumns count="7">
    <tableColumn id="1" xr3:uid="{177B27E3-2215-4BC1-ADE4-FBC42C7D2B9A}" name="Invoice" dataDxfId="6"/>
    <tableColumn id="2" xr3:uid="{7FE3801C-1658-4C3E-9447-85016E12F2BB}" name="Date" dataDxfId="5"/>
    <tableColumn id="3" xr3:uid="{667C326B-F8D3-424F-9A05-8D00903288FE}" name="Mobile Number" dataDxfId="4"/>
    <tableColumn id="4" xr3:uid="{73945F37-9A45-4CE1-B1E6-514317576A28}" name="Mode Of Payment" dataDxfId="3"/>
    <tableColumn id="5" xr3:uid="{5F994D5E-ED7C-4E8F-9CA8-2BE1374F334C}" name="Discount Amount" dataDxfId="2"/>
    <tableColumn id="6" xr3:uid="{EF955883-0555-46DD-A3DA-F4F66A2F68BB}" name="Total Amount " dataDxfId="1"/>
    <tableColumn id="7" xr3:uid="{6D63850A-5B70-428E-AD3D-740967E59ECF}" name="Total Q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6"/>
  <sheetViews>
    <sheetView workbookViewId="0">
      <selection activeCell="E8" sqref="E8"/>
    </sheetView>
  </sheetViews>
  <sheetFormatPr defaultRowHeight="30" customHeight="1" x14ac:dyDescent="0.3"/>
  <cols>
    <col min="1" max="1" width="9" style="2" customWidth="1"/>
    <col min="2" max="2" width="17.21875" style="2" customWidth="1"/>
    <col min="3" max="3" width="31.33203125" style="2" customWidth="1"/>
    <col min="4" max="4" width="18.33203125" style="2" customWidth="1"/>
    <col min="5" max="5" width="17.5546875" style="2" customWidth="1"/>
    <col min="6" max="6" width="14.88671875" style="2" customWidth="1"/>
    <col min="7" max="7" width="10.5546875" style="2" customWidth="1"/>
    <col min="8" max="16384" width="8.88671875" style="1"/>
  </cols>
  <sheetData>
    <row r="1" spans="1:7" ht="38.25" customHeight="1" x14ac:dyDescent="0.3">
      <c r="A1" s="55" t="s">
        <v>0</v>
      </c>
      <c r="B1" s="56"/>
      <c r="C1" s="56"/>
      <c r="D1" s="56"/>
      <c r="E1" s="56"/>
      <c r="F1" s="56"/>
      <c r="G1" s="57"/>
    </row>
    <row r="2" spans="1:7" ht="28.95" customHeight="1" x14ac:dyDescent="0.3">
      <c r="A2" s="48" t="s">
        <v>1</v>
      </c>
      <c r="B2" s="49" t="s">
        <v>2</v>
      </c>
      <c r="C2" s="50" t="s">
        <v>3</v>
      </c>
      <c r="D2" s="50" t="s">
        <v>4</v>
      </c>
      <c r="E2" s="51" t="s">
        <v>5</v>
      </c>
      <c r="F2" s="51" t="s">
        <v>6</v>
      </c>
      <c r="G2" s="52" t="s">
        <v>452</v>
      </c>
    </row>
    <row r="3" spans="1:7" ht="28.95" customHeight="1" x14ac:dyDescent="0.3">
      <c r="A3" s="7"/>
      <c r="B3" s="8" t="s">
        <v>1377</v>
      </c>
      <c r="C3" s="9" t="s">
        <v>1377</v>
      </c>
      <c r="D3" s="9" t="s">
        <v>1377</v>
      </c>
      <c r="E3" s="10">
        <v>0</v>
      </c>
      <c r="F3" s="10">
        <v>0</v>
      </c>
      <c r="G3" s="11">
        <v>0</v>
      </c>
    </row>
    <row r="4" spans="1:7" ht="28.95" customHeight="1" x14ac:dyDescent="0.3">
      <c r="A4" s="3">
        <f>COUNTA(Table1[Invoice])</f>
        <v>0</v>
      </c>
      <c r="B4" s="4">
        <v>0</v>
      </c>
      <c r="C4" s="3">
        <v>0</v>
      </c>
      <c r="D4" s="3" t="s">
        <v>1376</v>
      </c>
      <c r="E4" s="5">
        <f>SUM(Table1[Discount Amount])</f>
        <v>0</v>
      </c>
      <c r="F4" s="6">
        <f>SUM(Table1[[Total Amount ]])</f>
        <v>0</v>
      </c>
      <c r="G4" s="3">
        <f>SUM(Table1[Total Qty])</f>
        <v>0</v>
      </c>
    </row>
    <row r="5" spans="1:7" ht="28.95" customHeight="1" x14ac:dyDescent="0.3"/>
    <row r="6" spans="1:7" ht="28.95" customHeight="1" x14ac:dyDescent="0.3"/>
  </sheetData>
  <sheetProtection sheet="1" objects="1" scenarios="1" selectLockedCells="1" selectUnlockedCells="1"/>
  <mergeCells count="1">
    <mergeCell ref="A1:G1"/>
  </mergeCells>
  <phoneticPr fontId="6" type="noConversion"/>
  <dataValidations count="5">
    <dataValidation allowBlank="1" showInputMessage="1" showErrorMessage="1" prompt="Title of this worksheet is in this cell" sqref="A1" xr:uid="{00000000-0002-0000-0000-000000000000}"/>
    <dataValidation allowBlank="1" showInputMessage="1" showErrorMessage="1" prompt="Enter Invoice number in this column under this heading. Use heading filters to find specific enteries" sqref="A2:A4" xr:uid="{00000000-0002-0000-0000-000001000000}"/>
    <dataValidation allowBlank="1" showInputMessage="1" showErrorMessage="1" prompt="Enter Date in this column under this heading" sqref="B2:B4" xr:uid="{00000000-0002-0000-0000-000002000000}"/>
    <dataValidation allowBlank="1" showInputMessage="1" showErrorMessage="1" prompt="Enter Amount in this column under this heading" sqref="F2:F4" xr:uid="{00000000-0002-0000-0000-000003000000}"/>
    <dataValidation allowBlank="1" showInputMessage="1" showErrorMessage="1" prompt="Enter Customer Name in this column under this heading" sqref="C2:E4" xr:uid="{00000000-0002-0000-0000-000004000000}"/>
  </dataValidations>
  <printOptions horizontalCentered="1"/>
  <pageMargins left="0.5" right="0.5" top="0.5" bottom="0.5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2"/>
  <sheetViews>
    <sheetView workbookViewId="0">
      <selection activeCell="A2" sqref="A2:XFD3"/>
    </sheetView>
  </sheetViews>
  <sheetFormatPr defaultRowHeight="14.4" x14ac:dyDescent="0.3"/>
  <cols>
    <col min="1" max="1" width="12.44140625" style="44" customWidth="1"/>
    <col min="2" max="2" width="14.44140625" style="44" customWidth="1"/>
    <col min="3" max="3" width="11.44140625" style="44" customWidth="1"/>
    <col min="4" max="4" width="14.6640625" style="47" customWidth="1"/>
    <col min="5" max="5" width="8.88671875" style="44"/>
    <col min="6" max="16384" width="8.88671875" style="1"/>
  </cols>
  <sheetData>
    <row r="1" spans="1:5" ht="15.6" x14ac:dyDescent="0.3">
      <c r="A1" s="53" t="s">
        <v>149</v>
      </c>
      <c r="B1" s="53" t="s">
        <v>1375</v>
      </c>
      <c r="C1" s="53" t="s">
        <v>151</v>
      </c>
      <c r="D1" s="54" t="s">
        <v>9</v>
      </c>
      <c r="E1" s="53" t="s">
        <v>8</v>
      </c>
    </row>
    <row r="2" spans="1:5" s="12" customFormat="1" x14ac:dyDescent="0.3">
      <c r="A2" s="45" t="s">
        <v>7</v>
      </c>
      <c r="B2" s="43"/>
      <c r="C2" s="43"/>
      <c r="D2" s="46"/>
      <c r="E2" s="43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B1860"/>
  <sheetViews>
    <sheetView zoomScale="85" zoomScaleNormal="85" workbookViewId="0">
      <selection activeCell="I29" sqref="I29"/>
    </sheetView>
  </sheetViews>
  <sheetFormatPr defaultRowHeight="14.4" x14ac:dyDescent="0.3"/>
  <cols>
    <col min="1" max="1" width="8.88671875" style="40"/>
    <col min="2" max="2" width="8.88671875" style="39"/>
    <col min="3" max="16384" width="8.88671875" style="1"/>
  </cols>
  <sheetData>
    <row r="1" spans="1:2" x14ac:dyDescent="0.3">
      <c r="A1" s="41" t="s">
        <v>8</v>
      </c>
      <c r="B1" s="42" t="s">
        <v>151</v>
      </c>
    </row>
    <row r="2" spans="1:2" x14ac:dyDescent="0.3">
      <c r="A2" s="38" t="str">
        <f>Lookup!A2</f>
        <v>C1</v>
      </c>
      <c r="B2" s="39">
        <f>SUMIFS(ItemInvoiceTracker!C:C,ItemInvoiceTracker!E:E,Data!A2)</f>
        <v>0</v>
      </c>
    </row>
    <row r="3" spans="1:2" x14ac:dyDescent="0.3">
      <c r="A3" s="38" t="str">
        <f>Lookup!A3</f>
        <v>C2</v>
      </c>
      <c r="B3" s="39">
        <f>SUMIFS(ItemInvoiceTracker!C:C,ItemInvoiceTracker!E:E,Data!A3)</f>
        <v>0</v>
      </c>
    </row>
    <row r="4" spans="1:2" x14ac:dyDescent="0.3">
      <c r="A4" s="38" t="str">
        <f>Lookup!A4</f>
        <v>S1</v>
      </c>
      <c r="B4" s="39">
        <f>SUMIFS(ItemInvoiceTracker!C:C,ItemInvoiceTracker!E:E,Data!A4)</f>
        <v>0</v>
      </c>
    </row>
    <row r="5" spans="1:2" x14ac:dyDescent="0.3">
      <c r="A5" s="38" t="str">
        <f>Lookup!A5</f>
        <v>P1</v>
      </c>
      <c r="B5" s="39">
        <f>SUMIFS(ItemInvoiceTracker!C:C,ItemInvoiceTracker!E:E,Data!A5)</f>
        <v>0</v>
      </c>
    </row>
    <row r="6" spans="1:2" x14ac:dyDescent="0.3">
      <c r="A6" s="38" t="str">
        <f>Lookup!A6</f>
        <v>S2</v>
      </c>
      <c r="B6" s="39">
        <f>SUMIFS(ItemInvoiceTracker!C:C,ItemInvoiceTracker!E:E,Data!A6)</f>
        <v>0</v>
      </c>
    </row>
    <row r="7" spans="1:2" x14ac:dyDescent="0.3">
      <c r="A7" s="38" t="str">
        <f>Lookup!A7</f>
        <v>C3</v>
      </c>
      <c r="B7" s="39">
        <f>SUMIFS(ItemInvoiceTracker!C:C,ItemInvoiceTracker!E:E,Data!A7)</f>
        <v>0</v>
      </c>
    </row>
    <row r="8" spans="1:2" x14ac:dyDescent="0.3">
      <c r="A8" s="38" t="str">
        <f>Lookup!A8</f>
        <v>w1</v>
      </c>
      <c r="B8" s="39">
        <f>SUMIFS(ItemInvoiceTracker!C:C,ItemInvoiceTracker!E:E,Data!A8)</f>
        <v>0</v>
      </c>
    </row>
    <row r="9" spans="1:2" x14ac:dyDescent="0.3">
      <c r="A9" s="38" t="str">
        <f>Lookup!A9</f>
        <v>w2</v>
      </c>
      <c r="B9" s="39">
        <f>SUMIFS(ItemInvoiceTracker!C:C,ItemInvoiceTracker!E:E,Data!A9)</f>
        <v>0</v>
      </c>
    </row>
    <row r="10" spans="1:2" x14ac:dyDescent="0.3">
      <c r="A10" s="38">
        <f>Lookup!A10</f>
        <v>1</v>
      </c>
      <c r="B10" s="39">
        <f>SUMIFS(ItemInvoiceTracker!C:C,ItemInvoiceTracker!E:E,Data!A10)</f>
        <v>0</v>
      </c>
    </row>
    <row r="11" spans="1:2" x14ac:dyDescent="0.3">
      <c r="A11" s="38">
        <f>Lookup!A11</f>
        <v>2</v>
      </c>
      <c r="B11" s="39">
        <f>SUMIFS(ItemInvoiceTracker!C:C,ItemInvoiceTracker!E:E,Data!A11)</f>
        <v>0</v>
      </c>
    </row>
    <row r="12" spans="1:2" x14ac:dyDescent="0.3">
      <c r="A12" s="38">
        <f>Lookup!A12</f>
        <v>3</v>
      </c>
      <c r="B12" s="39">
        <f>SUMIFS(ItemInvoiceTracker!C:C,ItemInvoiceTracker!E:E,Data!A12)</f>
        <v>0</v>
      </c>
    </row>
    <row r="13" spans="1:2" x14ac:dyDescent="0.3">
      <c r="A13" s="38">
        <f>Lookup!A13</f>
        <v>4</v>
      </c>
      <c r="B13" s="39">
        <f>SUMIFS(ItemInvoiceTracker!C:C,ItemInvoiceTracker!E:E,Data!A13)</f>
        <v>0</v>
      </c>
    </row>
    <row r="14" spans="1:2" x14ac:dyDescent="0.3">
      <c r="A14" s="38">
        <f>Lookup!A14</f>
        <v>5</v>
      </c>
      <c r="B14" s="39">
        <f>SUMIFS(ItemInvoiceTracker!C:C,ItemInvoiceTracker!E:E,Data!A14)</f>
        <v>0</v>
      </c>
    </row>
    <row r="15" spans="1:2" x14ac:dyDescent="0.3">
      <c r="A15" s="38">
        <f>Lookup!A15</f>
        <v>6</v>
      </c>
      <c r="B15" s="39">
        <f>SUMIFS(ItemInvoiceTracker!C:C,ItemInvoiceTracker!E:E,Data!A15)</f>
        <v>0</v>
      </c>
    </row>
    <row r="16" spans="1:2" x14ac:dyDescent="0.3">
      <c r="A16" s="38">
        <f>Lookup!A16</f>
        <v>7</v>
      </c>
      <c r="B16" s="39">
        <f>SUMIFS(ItemInvoiceTracker!C:C,ItemInvoiceTracker!E:E,Data!A16)</f>
        <v>0</v>
      </c>
    </row>
    <row r="17" spans="1:2" x14ac:dyDescent="0.3">
      <c r="A17" s="38">
        <f>Lookup!A17</f>
        <v>8</v>
      </c>
      <c r="B17" s="39">
        <f>SUMIFS(ItemInvoiceTracker!C:C,ItemInvoiceTracker!E:E,Data!A17)</f>
        <v>0</v>
      </c>
    </row>
    <row r="18" spans="1:2" x14ac:dyDescent="0.3">
      <c r="A18" s="38">
        <f>Lookup!A18</f>
        <v>9</v>
      </c>
      <c r="B18" s="39">
        <f>SUMIFS(ItemInvoiceTracker!C:C,ItemInvoiceTracker!E:E,Data!A18)</f>
        <v>0</v>
      </c>
    </row>
    <row r="19" spans="1:2" x14ac:dyDescent="0.3">
      <c r="A19" s="38">
        <f>Lookup!A19</f>
        <v>10</v>
      </c>
      <c r="B19" s="39">
        <f>SUMIFS(ItemInvoiceTracker!C:C,ItemInvoiceTracker!E:E,Data!A19)</f>
        <v>0</v>
      </c>
    </row>
    <row r="20" spans="1:2" x14ac:dyDescent="0.3">
      <c r="A20" s="38">
        <f>Lookup!A20</f>
        <v>11</v>
      </c>
      <c r="B20" s="39">
        <f>SUMIFS(ItemInvoiceTracker!C:C,ItemInvoiceTracker!E:E,Data!A20)</f>
        <v>0</v>
      </c>
    </row>
    <row r="21" spans="1:2" x14ac:dyDescent="0.3">
      <c r="A21" s="38">
        <f>Lookup!A21</f>
        <v>12</v>
      </c>
      <c r="B21" s="39">
        <f>SUMIFS(ItemInvoiceTracker!C:C,ItemInvoiceTracker!E:E,Data!A21)</f>
        <v>0</v>
      </c>
    </row>
    <row r="22" spans="1:2" x14ac:dyDescent="0.3">
      <c r="A22" s="38">
        <f>Lookup!A22</f>
        <v>13</v>
      </c>
      <c r="B22" s="39">
        <f>SUMIFS(ItemInvoiceTracker!C:C,ItemInvoiceTracker!E:E,Data!A22)</f>
        <v>0</v>
      </c>
    </row>
    <row r="23" spans="1:2" x14ac:dyDescent="0.3">
      <c r="A23" s="38">
        <f>Lookup!A23</f>
        <v>14</v>
      </c>
      <c r="B23" s="39">
        <f>SUMIFS(ItemInvoiceTracker!C:C,ItemInvoiceTracker!E:E,Data!A23)</f>
        <v>0</v>
      </c>
    </row>
    <row r="24" spans="1:2" x14ac:dyDescent="0.3">
      <c r="A24" s="38">
        <f>Lookup!A24</f>
        <v>15</v>
      </c>
      <c r="B24" s="39">
        <f>SUMIFS(ItemInvoiceTracker!C:C,ItemInvoiceTracker!E:E,Data!A24)</f>
        <v>0</v>
      </c>
    </row>
    <row r="25" spans="1:2" x14ac:dyDescent="0.3">
      <c r="A25" s="38">
        <f>Lookup!A25</f>
        <v>16</v>
      </c>
      <c r="B25" s="39">
        <f>SUMIFS(ItemInvoiceTracker!C:C,ItemInvoiceTracker!E:E,Data!A25)</f>
        <v>0</v>
      </c>
    </row>
    <row r="26" spans="1:2" x14ac:dyDescent="0.3">
      <c r="A26" s="38">
        <f>Lookup!A26</f>
        <v>17</v>
      </c>
      <c r="B26" s="39">
        <f>SUMIFS(ItemInvoiceTracker!C:C,ItemInvoiceTracker!E:E,Data!A26)</f>
        <v>0</v>
      </c>
    </row>
    <row r="27" spans="1:2" x14ac:dyDescent="0.3">
      <c r="A27" s="38">
        <f>Lookup!A27</f>
        <v>18</v>
      </c>
      <c r="B27" s="39">
        <f>SUMIFS(ItemInvoiceTracker!C:C,ItemInvoiceTracker!E:E,Data!A27)</f>
        <v>0</v>
      </c>
    </row>
    <row r="28" spans="1:2" x14ac:dyDescent="0.3">
      <c r="A28" s="38">
        <f>Lookup!A28</f>
        <v>19</v>
      </c>
      <c r="B28" s="39">
        <f>SUMIFS(ItemInvoiceTracker!C:C,ItemInvoiceTracker!E:E,Data!A28)</f>
        <v>0</v>
      </c>
    </row>
    <row r="29" spans="1:2" x14ac:dyDescent="0.3">
      <c r="A29" s="38">
        <f>Lookup!A29</f>
        <v>20</v>
      </c>
      <c r="B29" s="39">
        <f>SUMIFS(ItemInvoiceTracker!C:C,ItemInvoiceTracker!E:E,Data!A29)</f>
        <v>0</v>
      </c>
    </row>
    <row r="30" spans="1:2" x14ac:dyDescent="0.3">
      <c r="A30" s="38">
        <f>Lookup!A30</f>
        <v>21</v>
      </c>
      <c r="B30" s="39">
        <f>SUMIFS(ItemInvoiceTracker!C:C,ItemInvoiceTracker!E:E,Data!A30)</f>
        <v>0</v>
      </c>
    </row>
    <row r="31" spans="1:2" x14ac:dyDescent="0.3">
      <c r="A31" s="38">
        <f>Lookup!A31</f>
        <v>22</v>
      </c>
      <c r="B31" s="39">
        <f>SUMIFS(ItemInvoiceTracker!C:C,ItemInvoiceTracker!E:E,Data!A31)</f>
        <v>0</v>
      </c>
    </row>
    <row r="32" spans="1:2" x14ac:dyDescent="0.3">
      <c r="A32" s="38">
        <f>Lookup!A32</f>
        <v>23</v>
      </c>
      <c r="B32" s="39">
        <f>SUMIFS(ItemInvoiceTracker!C:C,ItemInvoiceTracker!E:E,Data!A32)</f>
        <v>0</v>
      </c>
    </row>
    <row r="33" spans="1:2" x14ac:dyDescent="0.3">
      <c r="A33" s="38">
        <f>Lookup!A33</f>
        <v>24</v>
      </c>
      <c r="B33" s="39">
        <f>SUMIFS(ItemInvoiceTracker!C:C,ItemInvoiceTracker!E:E,Data!A33)</f>
        <v>0</v>
      </c>
    </row>
    <row r="34" spans="1:2" x14ac:dyDescent="0.3">
      <c r="A34" s="38">
        <f>Lookup!A34</f>
        <v>25</v>
      </c>
      <c r="B34" s="39">
        <f>SUMIFS(ItemInvoiceTracker!C:C,ItemInvoiceTracker!E:E,Data!A34)</f>
        <v>0</v>
      </c>
    </row>
    <row r="35" spans="1:2" x14ac:dyDescent="0.3">
      <c r="A35" s="38">
        <f>Lookup!A35</f>
        <v>26</v>
      </c>
      <c r="B35" s="39">
        <f>SUMIFS(ItemInvoiceTracker!C:C,ItemInvoiceTracker!E:E,Data!A35)</f>
        <v>0</v>
      </c>
    </row>
    <row r="36" spans="1:2" x14ac:dyDescent="0.3">
      <c r="A36" s="38">
        <f>Lookup!A36</f>
        <v>27</v>
      </c>
      <c r="B36" s="39">
        <f>SUMIFS(ItemInvoiceTracker!C:C,ItemInvoiceTracker!E:E,Data!A36)</f>
        <v>0</v>
      </c>
    </row>
    <row r="37" spans="1:2" x14ac:dyDescent="0.3">
      <c r="A37" s="38">
        <f>Lookup!A37</f>
        <v>28</v>
      </c>
      <c r="B37" s="39">
        <f>SUMIFS(ItemInvoiceTracker!C:C,ItemInvoiceTracker!E:E,Data!A37)</f>
        <v>0</v>
      </c>
    </row>
    <row r="38" spans="1:2" x14ac:dyDescent="0.3">
      <c r="A38" s="38">
        <f>Lookup!A38</f>
        <v>29</v>
      </c>
      <c r="B38" s="39">
        <f>SUMIFS(ItemInvoiceTracker!C:C,ItemInvoiceTracker!E:E,Data!A38)</f>
        <v>0</v>
      </c>
    </row>
    <row r="39" spans="1:2" x14ac:dyDescent="0.3">
      <c r="A39" s="38">
        <f>Lookup!A39</f>
        <v>30</v>
      </c>
      <c r="B39" s="39">
        <f>SUMIFS(ItemInvoiceTracker!C:C,ItemInvoiceTracker!E:E,Data!A39)</f>
        <v>0</v>
      </c>
    </row>
    <row r="40" spans="1:2" x14ac:dyDescent="0.3">
      <c r="A40" s="38">
        <f>Lookup!A40</f>
        <v>31</v>
      </c>
      <c r="B40" s="39">
        <f>SUMIFS(ItemInvoiceTracker!C:C,ItemInvoiceTracker!E:E,Data!A40)</f>
        <v>0</v>
      </c>
    </row>
    <row r="41" spans="1:2" x14ac:dyDescent="0.3">
      <c r="A41" s="38">
        <f>Lookup!A41</f>
        <v>32</v>
      </c>
      <c r="B41" s="39">
        <f>SUMIFS(ItemInvoiceTracker!C:C,ItemInvoiceTracker!E:E,Data!A41)</f>
        <v>0</v>
      </c>
    </row>
    <row r="42" spans="1:2" x14ac:dyDescent="0.3">
      <c r="A42" s="38">
        <f>Lookup!A42</f>
        <v>33</v>
      </c>
      <c r="B42" s="39">
        <f>SUMIFS(ItemInvoiceTracker!C:C,ItemInvoiceTracker!E:E,Data!A42)</f>
        <v>0</v>
      </c>
    </row>
    <row r="43" spans="1:2" x14ac:dyDescent="0.3">
      <c r="A43" s="38">
        <f>Lookup!A43</f>
        <v>34</v>
      </c>
      <c r="B43" s="39">
        <f>SUMIFS(ItemInvoiceTracker!C:C,ItemInvoiceTracker!E:E,Data!A43)</f>
        <v>0</v>
      </c>
    </row>
    <row r="44" spans="1:2" x14ac:dyDescent="0.3">
      <c r="A44" s="38">
        <f>Lookup!A44</f>
        <v>35</v>
      </c>
      <c r="B44" s="39">
        <f>SUMIFS(ItemInvoiceTracker!C:C,ItemInvoiceTracker!E:E,Data!A44)</f>
        <v>0</v>
      </c>
    </row>
    <row r="45" spans="1:2" x14ac:dyDescent="0.3">
      <c r="A45" s="38">
        <f>Lookup!A45</f>
        <v>36</v>
      </c>
      <c r="B45" s="39">
        <f>SUMIFS(ItemInvoiceTracker!C:C,ItemInvoiceTracker!E:E,Data!A45)</f>
        <v>0</v>
      </c>
    </row>
    <row r="46" spans="1:2" x14ac:dyDescent="0.3">
      <c r="A46" s="38">
        <f>Lookup!A46</f>
        <v>37</v>
      </c>
      <c r="B46" s="39">
        <f>SUMIFS(ItemInvoiceTracker!C:C,ItemInvoiceTracker!E:E,Data!A46)</f>
        <v>0</v>
      </c>
    </row>
    <row r="47" spans="1:2" x14ac:dyDescent="0.3">
      <c r="A47" s="38">
        <f>Lookup!A47</f>
        <v>38</v>
      </c>
      <c r="B47" s="39">
        <f>SUMIFS(ItemInvoiceTracker!C:C,ItemInvoiceTracker!E:E,Data!A47)</f>
        <v>0</v>
      </c>
    </row>
    <row r="48" spans="1:2" x14ac:dyDescent="0.3">
      <c r="A48" s="38">
        <f>Lookup!A48</f>
        <v>39</v>
      </c>
      <c r="B48" s="39">
        <f>SUMIFS(ItemInvoiceTracker!C:C,ItemInvoiceTracker!E:E,Data!A48)</f>
        <v>0</v>
      </c>
    </row>
    <row r="49" spans="1:2" x14ac:dyDescent="0.3">
      <c r="A49" s="38">
        <f>Lookup!A49</f>
        <v>40</v>
      </c>
      <c r="B49" s="39">
        <f>SUMIFS(ItemInvoiceTracker!C:C,ItemInvoiceTracker!E:E,Data!A49)</f>
        <v>0</v>
      </c>
    </row>
    <row r="50" spans="1:2" x14ac:dyDescent="0.3">
      <c r="A50" s="38">
        <f>Lookup!A50</f>
        <v>41</v>
      </c>
      <c r="B50" s="39">
        <f>SUMIFS(ItemInvoiceTracker!C:C,ItemInvoiceTracker!E:E,Data!A50)</f>
        <v>0</v>
      </c>
    </row>
    <row r="51" spans="1:2" x14ac:dyDescent="0.3">
      <c r="A51" s="38">
        <f>Lookup!A51</f>
        <v>42</v>
      </c>
      <c r="B51" s="39">
        <f>SUMIFS(ItemInvoiceTracker!C:C,ItemInvoiceTracker!E:E,Data!A51)</f>
        <v>0</v>
      </c>
    </row>
    <row r="52" spans="1:2" x14ac:dyDescent="0.3">
      <c r="A52" s="38">
        <f>Lookup!A52</f>
        <v>43</v>
      </c>
      <c r="B52" s="39">
        <f>SUMIFS(ItemInvoiceTracker!C:C,ItemInvoiceTracker!E:E,Data!A52)</f>
        <v>0</v>
      </c>
    </row>
    <row r="53" spans="1:2" x14ac:dyDescent="0.3">
      <c r="A53" s="38">
        <f>Lookup!A53</f>
        <v>44</v>
      </c>
      <c r="B53" s="39">
        <f>SUMIFS(ItemInvoiceTracker!C:C,ItemInvoiceTracker!E:E,Data!A53)</f>
        <v>0</v>
      </c>
    </row>
    <row r="54" spans="1:2" x14ac:dyDescent="0.3">
      <c r="A54" s="38">
        <f>Lookup!A54</f>
        <v>45</v>
      </c>
      <c r="B54" s="39">
        <f>SUMIFS(ItemInvoiceTracker!C:C,ItemInvoiceTracker!E:E,Data!A54)</f>
        <v>0</v>
      </c>
    </row>
    <row r="55" spans="1:2" x14ac:dyDescent="0.3">
      <c r="A55" s="38">
        <f>Lookup!A55</f>
        <v>46</v>
      </c>
      <c r="B55" s="39">
        <f>SUMIFS(ItemInvoiceTracker!C:C,ItemInvoiceTracker!E:E,Data!A55)</f>
        <v>0</v>
      </c>
    </row>
    <row r="56" spans="1:2" x14ac:dyDescent="0.3">
      <c r="A56" s="38">
        <f>Lookup!A56</f>
        <v>47</v>
      </c>
      <c r="B56" s="39">
        <f>SUMIFS(ItemInvoiceTracker!C:C,ItemInvoiceTracker!E:E,Data!A56)</f>
        <v>0</v>
      </c>
    </row>
    <row r="57" spans="1:2" x14ac:dyDescent="0.3">
      <c r="A57" s="38">
        <f>Lookup!A57</f>
        <v>48</v>
      </c>
      <c r="B57" s="39">
        <f>SUMIFS(ItemInvoiceTracker!C:C,ItemInvoiceTracker!E:E,Data!A57)</f>
        <v>0</v>
      </c>
    </row>
    <row r="58" spans="1:2" x14ac:dyDescent="0.3">
      <c r="A58" s="38">
        <f>Lookup!A58</f>
        <v>49</v>
      </c>
      <c r="B58" s="39">
        <f>SUMIFS(ItemInvoiceTracker!C:C,ItemInvoiceTracker!E:E,Data!A58)</f>
        <v>0</v>
      </c>
    </row>
    <row r="59" spans="1:2" x14ac:dyDescent="0.3">
      <c r="A59" s="38">
        <f>Lookup!A59</f>
        <v>50</v>
      </c>
      <c r="B59" s="39">
        <f>SUMIFS(ItemInvoiceTracker!C:C,ItemInvoiceTracker!E:E,Data!A59)</f>
        <v>0</v>
      </c>
    </row>
    <row r="60" spans="1:2" x14ac:dyDescent="0.3">
      <c r="A60" s="38">
        <f>Lookup!A60</f>
        <v>51</v>
      </c>
      <c r="B60" s="39">
        <f>SUMIFS(ItemInvoiceTracker!C:C,ItemInvoiceTracker!E:E,Data!A60)</f>
        <v>0</v>
      </c>
    </row>
    <row r="61" spans="1:2" x14ac:dyDescent="0.3">
      <c r="A61" s="38">
        <f>Lookup!A61</f>
        <v>52</v>
      </c>
      <c r="B61" s="39">
        <f>SUMIFS(ItemInvoiceTracker!C:C,ItemInvoiceTracker!E:E,Data!A61)</f>
        <v>0</v>
      </c>
    </row>
    <row r="62" spans="1:2" x14ac:dyDescent="0.3">
      <c r="A62" s="38">
        <f>Lookup!A62</f>
        <v>53</v>
      </c>
      <c r="B62" s="39">
        <f>SUMIFS(ItemInvoiceTracker!C:C,ItemInvoiceTracker!E:E,Data!A62)</f>
        <v>0</v>
      </c>
    </row>
    <row r="63" spans="1:2" x14ac:dyDescent="0.3">
      <c r="A63" s="38">
        <f>Lookup!A63</f>
        <v>54</v>
      </c>
      <c r="B63" s="39">
        <f>SUMIFS(ItemInvoiceTracker!C:C,ItemInvoiceTracker!E:E,Data!A63)</f>
        <v>0</v>
      </c>
    </row>
    <row r="64" spans="1:2" x14ac:dyDescent="0.3">
      <c r="A64" s="38">
        <f>Lookup!A64</f>
        <v>55</v>
      </c>
      <c r="B64" s="39">
        <f>SUMIFS(ItemInvoiceTracker!C:C,ItemInvoiceTracker!E:E,Data!A64)</f>
        <v>0</v>
      </c>
    </row>
    <row r="65" spans="1:2" x14ac:dyDescent="0.3">
      <c r="A65" s="38">
        <f>Lookup!A65</f>
        <v>56</v>
      </c>
      <c r="B65" s="39">
        <f>SUMIFS(ItemInvoiceTracker!C:C,ItemInvoiceTracker!E:E,Data!A65)</f>
        <v>0</v>
      </c>
    </row>
    <row r="66" spans="1:2" x14ac:dyDescent="0.3">
      <c r="A66" s="38">
        <f>Lookup!A66</f>
        <v>57</v>
      </c>
      <c r="B66" s="39">
        <f>SUMIFS(ItemInvoiceTracker!C:C,ItemInvoiceTracker!E:E,Data!A66)</f>
        <v>0</v>
      </c>
    </row>
    <row r="67" spans="1:2" x14ac:dyDescent="0.3">
      <c r="A67" s="38">
        <f>Lookup!A67</f>
        <v>58</v>
      </c>
      <c r="B67" s="39">
        <f>SUMIFS(ItemInvoiceTracker!C:C,ItemInvoiceTracker!E:E,Data!A67)</f>
        <v>0</v>
      </c>
    </row>
    <row r="68" spans="1:2" x14ac:dyDescent="0.3">
      <c r="A68" s="38">
        <f>Lookup!A68</f>
        <v>59</v>
      </c>
      <c r="B68" s="39">
        <f>SUMIFS(ItemInvoiceTracker!C:C,ItemInvoiceTracker!E:E,Data!A68)</f>
        <v>0</v>
      </c>
    </row>
    <row r="69" spans="1:2" x14ac:dyDescent="0.3">
      <c r="A69" s="38">
        <f>Lookup!A69</f>
        <v>60</v>
      </c>
      <c r="B69" s="39">
        <f>SUMIFS(ItemInvoiceTracker!C:C,ItemInvoiceTracker!E:E,Data!A69)</f>
        <v>0</v>
      </c>
    </row>
    <row r="70" spans="1:2" x14ac:dyDescent="0.3">
      <c r="A70" s="38">
        <f>Lookup!A70</f>
        <v>61</v>
      </c>
      <c r="B70" s="39">
        <f>SUMIFS(ItemInvoiceTracker!C:C,ItemInvoiceTracker!E:E,Data!A70)</f>
        <v>0</v>
      </c>
    </row>
    <row r="71" spans="1:2" x14ac:dyDescent="0.3">
      <c r="A71" s="38">
        <f>Lookup!A71</f>
        <v>62</v>
      </c>
      <c r="B71" s="39">
        <f>SUMIFS(ItemInvoiceTracker!C:C,ItemInvoiceTracker!E:E,Data!A71)</f>
        <v>0</v>
      </c>
    </row>
    <row r="72" spans="1:2" x14ac:dyDescent="0.3">
      <c r="A72" s="38">
        <f>Lookup!A72</f>
        <v>63</v>
      </c>
      <c r="B72" s="39">
        <f>SUMIFS(ItemInvoiceTracker!C:C,ItemInvoiceTracker!E:E,Data!A72)</f>
        <v>0</v>
      </c>
    </row>
    <row r="73" spans="1:2" x14ac:dyDescent="0.3">
      <c r="A73" s="38">
        <f>Lookup!A73</f>
        <v>64</v>
      </c>
      <c r="B73" s="39">
        <f>SUMIFS(ItemInvoiceTracker!C:C,ItemInvoiceTracker!E:E,Data!A73)</f>
        <v>0</v>
      </c>
    </row>
    <row r="74" spans="1:2" x14ac:dyDescent="0.3">
      <c r="A74" s="38">
        <f>Lookup!A74</f>
        <v>65</v>
      </c>
      <c r="B74" s="39">
        <f>SUMIFS(ItemInvoiceTracker!C:C,ItemInvoiceTracker!E:E,Data!A74)</f>
        <v>0</v>
      </c>
    </row>
    <row r="75" spans="1:2" x14ac:dyDescent="0.3">
      <c r="A75" s="38">
        <f>Lookup!A75</f>
        <v>66</v>
      </c>
      <c r="B75" s="39">
        <f>SUMIFS(ItemInvoiceTracker!C:C,ItemInvoiceTracker!E:E,Data!A75)</f>
        <v>0</v>
      </c>
    </row>
    <row r="76" spans="1:2" x14ac:dyDescent="0.3">
      <c r="A76" s="38">
        <f>Lookup!A76</f>
        <v>31</v>
      </c>
      <c r="B76" s="39">
        <f>SUMIFS(ItemInvoiceTracker!C:C,ItemInvoiceTracker!E:E,Data!A76)</f>
        <v>0</v>
      </c>
    </row>
    <row r="77" spans="1:2" x14ac:dyDescent="0.3">
      <c r="A77" s="38" t="str">
        <f>Lookup!A77</f>
        <v>DD1</v>
      </c>
      <c r="B77" s="39">
        <f>SUMIFS(ItemInvoiceTracker!C:C,ItemInvoiceTracker!E:E,Data!A77)</f>
        <v>0</v>
      </c>
    </row>
    <row r="78" spans="1:2" x14ac:dyDescent="0.3">
      <c r="A78" s="38" t="str">
        <f>Lookup!A78</f>
        <v>D1</v>
      </c>
      <c r="B78" s="39">
        <f>SUMIFS(ItemInvoiceTracker!C:C,ItemInvoiceTracker!E:E,Data!A78)</f>
        <v>0</v>
      </c>
    </row>
    <row r="79" spans="1:2" x14ac:dyDescent="0.3">
      <c r="A79" s="38" t="str">
        <f>Lookup!A79</f>
        <v>D2</v>
      </c>
      <c r="B79" s="39">
        <f>SUMIFS(ItemInvoiceTracker!C:C,ItemInvoiceTracker!E:E,Data!A79)</f>
        <v>0</v>
      </c>
    </row>
    <row r="80" spans="1:2" x14ac:dyDescent="0.3">
      <c r="A80" s="38" t="str">
        <f>Lookup!A80</f>
        <v>D3</v>
      </c>
      <c r="B80" s="39">
        <f>SUMIFS(ItemInvoiceTracker!C:C,ItemInvoiceTracker!E:E,Data!A80)</f>
        <v>0</v>
      </c>
    </row>
    <row r="81" spans="1:2" x14ac:dyDescent="0.3">
      <c r="A81" s="38" t="str">
        <f>Lookup!A81</f>
        <v>D4</v>
      </c>
      <c r="B81" s="39">
        <f>SUMIFS(ItemInvoiceTracker!C:C,ItemInvoiceTracker!E:E,Data!A81)</f>
        <v>0</v>
      </c>
    </row>
    <row r="82" spans="1:2" x14ac:dyDescent="0.3">
      <c r="A82" s="38" t="str">
        <f>Lookup!A82</f>
        <v>D5</v>
      </c>
      <c r="B82" s="39">
        <f>SUMIFS(ItemInvoiceTracker!C:C,ItemInvoiceTracker!E:E,Data!A82)</f>
        <v>0</v>
      </c>
    </row>
    <row r="83" spans="1:2" x14ac:dyDescent="0.3">
      <c r="A83" s="38" t="str">
        <f>Lookup!A83</f>
        <v>D6</v>
      </c>
      <c r="B83" s="39">
        <f>SUMIFS(ItemInvoiceTracker!C:C,ItemInvoiceTracker!E:E,Data!A83)</f>
        <v>0</v>
      </c>
    </row>
    <row r="84" spans="1:2" x14ac:dyDescent="0.3">
      <c r="A84" s="38" t="str">
        <f>Lookup!A84</f>
        <v>D7</v>
      </c>
      <c r="B84" s="39">
        <f>SUMIFS(ItemInvoiceTracker!C:C,ItemInvoiceTracker!E:E,Data!A84)</f>
        <v>0</v>
      </c>
    </row>
    <row r="85" spans="1:2" x14ac:dyDescent="0.3">
      <c r="A85" s="38" t="str">
        <f>Lookup!A85</f>
        <v>D8</v>
      </c>
      <c r="B85" s="39">
        <f>SUMIFS(ItemInvoiceTracker!C:C,ItemInvoiceTracker!E:E,Data!A85)</f>
        <v>0</v>
      </c>
    </row>
    <row r="86" spans="1:2" x14ac:dyDescent="0.3">
      <c r="A86" s="38" t="str">
        <f>Lookup!A86</f>
        <v>D9</v>
      </c>
      <c r="B86" s="39">
        <f>SUMIFS(ItemInvoiceTracker!C:C,ItemInvoiceTracker!E:E,Data!A86)</f>
        <v>0</v>
      </c>
    </row>
    <row r="87" spans="1:2" x14ac:dyDescent="0.3">
      <c r="A87" s="38" t="str">
        <f>Lookup!A87</f>
        <v>D10</v>
      </c>
      <c r="B87" s="39">
        <f>SUMIFS(ItemInvoiceTracker!C:C,ItemInvoiceTracker!E:E,Data!A87)</f>
        <v>0</v>
      </c>
    </row>
    <row r="88" spans="1:2" x14ac:dyDescent="0.3">
      <c r="A88" s="38" t="str">
        <f>Lookup!A88</f>
        <v>D11</v>
      </c>
      <c r="B88" s="39">
        <f>SUMIFS(ItemInvoiceTracker!C:C,ItemInvoiceTracker!E:E,Data!A88)</f>
        <v>0</v>
      </c>
    </row>
    <row r="89" spans="1:2" x14ac:dyDescent="0.3">
      <c r="A89" s="38" t="str">
        <f>Lookup!A89</f>
        <v>D12</v>
      </c>
      <c r="B89" s="39">
        <f>SUMIFS(ItemInvoiceTracker!C:C,ItemInvoiceTracker!E:E,Data!A89)</f>
        <v>0</v>
      </c>
    </row>
    <row r="90" spans="1:2" x14ac:dyDescent="0.3">
      <c r="A90" s="38" t="str">
        <f>Lookup!A90</f>
        <v>D13</v>
      </c>
      <c r="B90" s="39">
        <f>SUMIFS(ItemInvoiceTracker!C:C,ItemInvoiceTracker!E:E,Data!A90)</f>
        <v>0</v>
      </c>
    </row>
    <row r="91" spans="1:2" x14ac:dyDescent="0.3">
      <c r="A91" s="38" t="str">
        <f>Lookup!A91</f>
        <v>D14</v>
      </c>
      <c r="B91" s="39">
        <f>SUMIFS(ItemInvoiceTracker!C:C,ItemInvoiceTracker!E:E,Data!A91)</f>
        <v>0</v>
      </c>
    </row>
    <row r="92" spans="1:2" x14ac:dyDescent="0.3">
      <c r="A92" s="38" t="str">
        <f>Lookup!A92</f>
        <v>D15</v>
      </c>
      <c r="B92" s="39">
        <f>SUMIFS(ItemInvoiceTracker!C:C,ItemInvoiceTracker!E:E,Data!A92)</f>
        <v>0</v>
      </c>
    </row>
    <row r="93" spans="1:2" x14ac:dyDescent="0.3">
      <c r="A93" s="38" t="str">
        <f>Lookup!A93</f>
        <v>D16</v>
      </c>
      <c r="B93" s="39">
        <f>SUMIFS(ItemInvoiceTracker!C:C,ItemInvoiceTracker!E:E,Data!A93)</f>
        <v>0</v>
      </c>
    </row>
    <row r="94" spans="1:2" x14ac:dyDescent="0.3">
      <c r="A94" s="38" t="str">
        <f>Lookup!A94</f>
        <v>D17</v>
      </c>
      <c r="B94" s="39">
        <f>SUMIFS(ItemInvoiceTracker!C:C,ItemInvoiceTracker!E:E,Data!A94)</f>
        <v>0</v>
      </c>
    </row>
    <row r="95" spans="1:2" x14ac:dyDescent="0.3">
      <c r="A95" s="38" t="str">
        <f>Lookup!A95</f>
        <v>D18</v>
      </c>
      <c r="B95" s="39">
        <f>SUMIFS(ItemInvoiceTracker!C:C,ItemInvoiceTracker!E:E,Data!A95)</f>
        <v>0</v>
      </c>
    </row>
    <row r="96" spans="1:2" x14ac:dyDescent="0.3">
      <c r="A96" s="38" t="str">
        <f>Lookup!A96</f>
        <v>D19</v>
      </c>
      <c r="B96" s="39">
        <f>SUMIFS(ItemInvoiceTracker!C:C,ItemInvoiceTracker!E:E,Data!A96)</f>
        <v>0</v>
      </c>
    </row>
    <row r="97" spans="1:2" x14ac:dyDescent="0.3">
      <c r="A97" s="38" t="str">
        <f>Lookup!A97</f>
        <v>D20</v>
      </c>
      <c r="B97" s="39">
        <f>SUMIFS(ItemInvoiceTracker!C:C,ItemInvoiceTracker!E:E,Data!A97)</f>
        <v>0</v>
      </c>
    </row>
    <row r="98" spans="1:2" x14ac:dyDescent="0.3">
      <c r="A98" s="38" t="str">
        <f>Lookup!A98</f>
        <v>D21</v>
      </c>
      <c r="B98" s="39">
        <f>SUMIFS(ItemInvoiceTracker!C:C,ItemInvoiceTracker!E:E,Data!A98)</f>
        <v>0</v>
      </c>
    </row>
    <row r="99" spans="1:2" x14ac:dyDescent="0.3">
      <c r="A99" s="38" t="str">
        <f>Lookup!A99</f>
        <v>D22</v>
      </c>
      <c r="B99" s="39">
        <f>SUMIFS(ItemInvoiceTracker!C:C,ItemInvoiceTracker!E:E,Data!A99)</f>
        <v>0</v>
      </c>
    </row>
    <row r="100" spans="1:2" x14ac:dyDescent="0.3">
      <c r="A100" s="38" t="str">
        <f>Lookup!A100</f>
        <v>D23</v>
      </c>
      <c r="B100" s="39">
        <f>SUMIFS(ItemInvoiceTracker!C:C,ItemInvoiceTracker!E:E,Data!A100)</f>
        <v>0</v>
      </c>
    </row>
    <row r="101" spans="1:2" x14ac:dyDescent="0.3">
      <c r="A101" s="38" t="str">
        <f>Lookup!A101</f>
        <v>D24</v>
      </c>
      <c r="B101" s="39">
        <f>SUMIFS(ItemInvoiceTracker!C:C,ItemInvoiceTracker!E:E,Data!A101)</f>
        <v>0</v>
      </c>
    </row>
    <row r="102" spans="1:2" x14ac:dyDescent="0.3">
      <c r="A102" s="38" t="str">
        <f>Lookup!A102</f>
        <v>D25</v>
      </c>
      <c r="B102" s="39">
        <f>SUMIFS(ItemInvoiceTracker!C:C,ItemInvoiceTracker!E:E,Data!A102)</f>
        <v>0</v>
      </c>
    </row>
    <row r="103" spans="1:2" x14ac:dyDescent="0.3">
      <c r="A103" s="38" t="str">
        <f>Lookup!A103</f>
        <v>D26</v>
      </c>
      <c r="B103" s="39">
        <f>SUMIFS(ItemInvoiceTracker!C:C,ItemInvoiceTracker!E:E,Data!A103)</f>
        <v>0</v>
      </c>
    </row>
    <row r="104" spans="1:2" x14ac:dyDescent="0.3">
      <c r="A104" s="38" t="str">
        <f>Lookup!A104</f>
        <v>D27</v>
      </c>
      <c r="B104" s="39">
        <f>SUMIFS(ItemInvoiceTracker!C:C,ItemInvoiceTracker!E:E,Data!A104)</f>
        <v>0</v>
      </c>
    </row>
    <row r="105" spans="1:2" x14ac:dyDescent="0.3">
      <c r="A105" s="38" t="str">
        <f>Lookup!A105</f>
        <v>D28</v>
      </c>
      <c r="B105" s="39">
        <f>SUMIFS(ItemInvoiceTracker!C:C,ItemInvoiceTracker!E:E,Data!A105)</f>
        <v>0</v>
      </c>
    </row>
    <row r="106" spans="1:2" x14ac:dyDescent="0.3">
      <c r="A106" s="38" t="str">
        <f>Lookup!A106</f>
        <v>D29</v>
      </c>
      <c r="B106" s="39">
        <f>SUMIFS(ItemInvoiceTracker!C:C,ItemInvoiceTracker!E:E,Data!A106)</f>
        <v>0</v>
      </c>
    </row>
    <row r="107" spans="1:2" x14ac:dyDescent="0.3">
      <c r="A107" s="38" t="str">
        <f>Lookup!A107</f>
        <v>D30</v>
      </c>
      <c r="B107" s="39">
        <f>SUMIFS(ItemInvoiceTracker!C:C,ItemInvoiceTracker!E:E,Data!A107)</f>
        <v>0</v>
      </c>
    </row>
    <row r="108" spans="1:2" x14ac:dyDescent="0.3">
      <c r="A108" s="38" t="str">
        <f>Lookup!A108</f>
        <v>D31</v>
      </c>
      <c r="B108" s="39">
        <f>SUMIFS(ItemInvoiceTracker!C:C,ItemInvoiceTracker!E:E,Data!A108)</f>
        <v>0</v>
      </c>
    </row>
    <row r="109" spans="1:2" x14ac:dyDescent="0.3">
      <c r="A109" s="38" t="str">
        <f>Lookup!A109</f>
        <v>D32</v>
      </c>
      <c r="B109" s="39">
        <f>SUMIFS(ItemInvoiceTracker!C:C,ItemInvoiceTracker!E:E,Data!A109)</f>
        <v>0</v>
      </c>
    </row>
    <row r="110" spans="1:2" x14ac:dyDescent="0.3">
      <c r="A110" s="38" t="str">
        <f>Lookup!A110</f>
        <v>D33</v>
      </c>
      <c r="B110" s="39">
        <f>SUMIFS(ItemInvoiceTracker!C:C,ItemInvoiceTracker!E:E,Data!A110)</f>
        <v>0</v>
      </c>
    </row>
    <row r="111" spans="1:2" x14ac:dyDescent="0.3">
      <c r="A111" s="38" t="str">
        <f>Lookup!A111</f>
        <v>D34</v>
      </c>
      <c r="B111" s="39">
        <f>SUMIFS(ItemInvoiceTracker!C:C,ItemInvoiceTracker!E:E,Data!A111)</f>
        <v>0</v>
      </c>
    </row>
    <row r="112" spans="1:2" x14ac:dyDescent="0.3">
      <c r="A112" s="38" t="str">
        <f>Lookup!A112</f>
        <v>D35</v>
      </c>
      <c r="B112" s="39">
        <f>SUMIFS(ItemInvoiceTracker!C:C,ItemInvoiceTracker!E:E,Data!A112)</f>
        <v>0</v>
      </c>
    </row>
    <row r="113" spans="1:2" x14ac:dyDescent="0.3">
      <c r="A113" s="38" t="str">
        <f>Lookup!A113</f>
        <v>D36</v>
      </c>
      <c r="B113" s="39">
        <f>SUMIFS(ItemInvoiceTracker!C:C,ItemInvoiceTracker!E:E,Data!A113)</f>
        <v>0</v>
      </c>
    </row>
    <row r="114" spans="1:2" x14ac:dyDescent="0.3">
      <c r="A114" s="38" t="str">
        <f>Lookup!A114</f>
        <v>D37</v>
      </c>
      <c r="B114" s="39">
        <f>SUMIFS(ItemInvoiceTracker!C:C,ItemInvoiceTracker!E:E,Data!A114)</f>
        <v>0</v>
      </c>
    </row>
    <row r="115" spans="1:2" x14ac:dyDescent="0.3">
      <c r="A115" s="38" t="str">
        <f>Lookup!A115</f>
        <v>D38</v>
      </c>
      <c r="B115" s="39">
        <f>SUMIFS(ItemInvoiceTracker!C:C,ItemInvoiceTracker!E:E,Data!A115)</f>
        <v>0</v>
      </c>
    </row>
    <row r="116" spans="1:2" x14ac:dyDescent="0.3">
      <c r="A116" s="38" t="str">
        <f>Lookup!A116</f>
        <v>D39</v>
      </c>
      <c r="B116" s="39">
        <f>SUMIFS(ItemInvoiceTracker!C:C,ItemInvoiceTracker!E:E,Data!A116)</f>
        <v>0</v>
      </c>
    </row>
    <row r="117" spans="1:2" x14ac:dyDescent="0.3">
      <c r="A117" s="38" t="str">
        <f>Lookup!A117</f>
        <v>D40</v>
      </c>
      <c r="B117" s="39">
        <f>SUMIFS(ItemInvoiceTracker!C:C,ItemInvoiceTracker!E:E,Data!A117)</f>
        <v>0</v>
      </c>
    </row>
    <row r="118" spans="1:2" x14ac:dyDescent="0.3">
      <c r="A118" s="38" t="str">
        <f>Lookup!A118</f>
        <v>D41</v>
      </c>
      <c r="B118" s="39">
        <f>SUMIFS(ItemInvoiceTracker!C:C,ItemInvoiceTracker!E:E,Data!A118)</f>
        <v>0</v>
      </c>
    </row>
    <row r="119" spans="1:2" x14ac:dyDescent="0.3">
      <c r="A119" s="38" t="str">
        <f>Lookup!A119</f>
        <v>D42</v>
      </c>
      <c r="B119" s="39">
        <f>SUMIFS(ItemInvoiceTracker!C:C,ItemInvoiceTracker!E:E,Data!A119)</f>
        <v>0</v>
      </c>
    </row>
    <row r="120" spans="1:2" x14ac:dyDescent="0.3">
      <c r="A120" s="38" t="str">
        <f>Lookup!A120</f>
        <v>D43</v>
      </c>
      <c r="B120" s="39">
        <f>SUMIFS(ItemInvoiceTracker!C:C,ItemInvoiceTracker!E:E,Data!A120)</f>
        <v>0</v>
      </c>
    </row>
    <row r="121" spans="1:2" x14ac:dyDescent="0.3">
      <c r="A121" s="38" t="str">
        <f>Lookup!A121</f>
        <v>D44</v>
      </c>
      <c r="B121" s="39">
        <f>SUMIFS(ItemInvoiceTracker!C:C,ItemInvoiceTracker!E:E,Data!A121)</f>
        <v>0</v>
      </c>
    </row>
    <row r="122" spans="1:2" x14ac:dyDescent="0.3">
      <c r="A122" s="38" t="str">
        <f>Lookup!A122</f>
        <v>D45</v>
      </c>
      <c r="B122" s="39">
        <f>SUMIFS(ItemInvoiceTracker!C:C,ItemInvoiceTracker!E:E,Data!A122)</f>
        <v>0</v>
      </c>
    </row>
    <row r="123" spans="1:2" x14ac:dyDescent="0.3">
      <c r="A123" s="38" t="str">
        <f>Lookup!A123</f>
        <v>D46</v>
      </c>
      <c r="B123" s="39">
        <f>SUMIFS(ItemInvoiceTracker!C:C,ItemInvoiceTracker!E:E,Data!A123)</f>
        <v>0</v>
      </c>
    </row>
    <row r="124" spans="1:2" x14ac:dyDescent="0.3">
      <c r="A124" s="38" t="str">
        <f>Lookup!A124</f>
        <v>D47</v>
      </c>
      <c r="B124" s="39">
        <f>SUMIFS(ItemInvoiceTracker!C:C,ItemInvoiceTracker!E:E,Data!A124)</f>
        <v>0</v>
      </c>
    </row>
    <row r="125" spans="1:2" x14ac:dyDescent="0.3">
      <c r="A125" s="38" t="str">
        <f>Lookup!A125</f>
        <v>D48</v>
      </c>
      <c r="B125" s="39">
        <f>SUMIFS(ItemInvoiceTracker!C:C,ItemInvoiceTracker!E:E,Data!A125)</f>
        <v>0</v>
      </c>
    </row>
    <row r="126" spans="1:2" x14ac:dyDescent="0.3">
      <c r="A126" s="38" t="str">
        <f>Lookup!A126</f>
        <v>D49</v>
      </c>
      <c r="B126" s="39">
        <f>SUMIFS(ItemInvoiceTracker!C:C,ItemInvoiceTracker!E:E,Data!A126)</f>
        <v>0</v>
      </c>
    </row>
    <row r="127" spans="1:2" x14ac:dyDescent="0.3">
      <c r="A127" s="38" t="str">
        <f>Lookup!A127</f>
        <v>D50</v>
      </c>
      <c r="B127" s="39">
        <f>SUMIFS(ItemInvoiceTracker!C:C,ItemInvoiceTracker!E:E,Data!A127)</f>
        <v>0</v>
      </c>
    </row>
    <row r="128" spans="1:2" x14ac:dyDescent="0.3">
      <c r="A128" s="38" t="str">
        <f>Lookup!A128</f>
        <v>D51</v>
      </c>
      <c r="B128" s="39">
        <f>SUMIFS(ItemInvoiceTracker!C:C,ItemInvoiceTracker!E:E,Data!A128)</f>
        <v>0</v>
      </c>
    </row>
    <row r="129" spans="1:2" x14ac:dyDescent="0.3">
      <c r="A129" s="38" t="str">
        <f>Lookup!A129</f>
        <v>D52</v>
      </c>
      <c r="B129" s="39">
        <f>SUMIFS(ItemInvoiceTracker!C:C,ItemInvoiceTracker!E:E,Data!A129)</f>
        <v>0</v>
      </c>
    </row>
    <row r="130" spans="1:2" x14ac:dyDescent="0.3">
      <c r="A130" s="38" t="str">
        <f>Lookup!A130</f>
        <v>D53</v>
      </c>
      <c r="B130" s="39">
        <f>SUMIFS(ItemInvoiceTracker!C:C,ItemInvoiceTracker!E:E,Data!A130)</f>
        <v>0</v>
      </c>
    </row>
    <row r="131" spans="1:2" x14ac:dyDescent="0.3">
      <c r="A131" s="38" t="str">
        <f>Lookup!A131</f>
        <v>D54</v>
      </c>
      <c r="B131" s="39">
        <f>SUMIFS(ItemInvoiceTracker!C:C,ItemInvoiceTracker!E:E,Data!A131)</f>
        <v>0</v>
      </c>
    </row>
    <row r="132" spans="1:2" x14ac:dyDescent="0.3">
      <c r="A132" s="38" t="str">
        <f>Lookup!A132</f>
        <v>D55</v>
      </c>
      <c r="B132" s="39">
        <f>SUMIFS(ItemInvoiceTracker!C:C,ItemInvoiceTracker!E:E,Data!A132)</f>
        <v>0</v>
      </c>
    </row>
    <row r="133" spans="1:2" x14ac:dyDescent="0.3">
      <c r="A133" s="38" t="str">
        <f>Lookup!A133</f>
        <v>D56</v>
      </c>
      <c r="B133" s="39">
        <f>SUMIFS(ItemInvoiceTracker!C:C,ItemInvoiceTracker!E:E,Data!A133)</f>
        <v>0</v>
      </c>
    </row>
    <row r="134" spans="1:2" x14ac:dyDescent="0.3">
      <c r="A134" s="38" t="str">
        <f>Lookup!A134</f>
        <v>D57</v>
      </c>
      <c r="B134" s="39">
        <f>SUMIFS(ItemInvoiceTracker!C:C,ItemInvoiceTracker!E:E,Data!A134)</f>
        <v>0</v>
      </c>
    </row>
    <row r="135" spans="1:2" x14ac:dyDescent="0.3">
      <c r="A135" s="38" t="str">
        <f>Lookup!A135</f>
        <v>D58</v>
      </c>
      <c r="B135" s="39">
        <f>SUMIFS(ItemInvoiceTracker!C:C,ItemInvoiceTracker!E:E,Data!A135)</f>
        <v>0</v>
      </c>
    </row>
    <row r="136" spans="1:2" x14ac:dyDescent="0.3">
      <c r="A136" s="38" t="str">
        <f>Lookup!A136</f>
        <v>D59</v>
      </c>
      <c r="B136" s="39">
        <f>SUMIFS(ItemInvoiceTracker!C:C,ItemInvoiceTracker!E:E,Data!A136)</f>
        <v>0</v>
      </c>
    </row>
    <row r="137" spans="1:2" x14ac:dyDescent="0.3">
      <c r="A137" s="38" t="str">
        <f>Lookup!A137</f>
        <v>D60</v>
      </c>
      <c r="B137" s="39">
        <f>SUMIFS(ItemInvoiceTracker!C:C,ItemInvoiceTracker!E:E,Data!A137)</f>
        <v>0</v>
      </c>
    </row>
    <row r="138" spans="1:2" x14ac:dyDescent="0.3">
      <c r="A138" s="38" t="str">
        <f>Lookup!A138</f>
        <v>D61</v>
      </c>
      <c r="B138" s="39">
        <f>SUMIFS(ItemInvoiceTracker!C:C,ItemInvoiceTracker!E:E,Data!A138)</f>
        <v>0</v>
      </c>
    </row>
    <row r="139" spans="1:2" x14ac:dyDescent="0.3">
      <c r="A139" s="38" t="str">
        <f>Lookup!A139</f>
        <v>D62</v>
      </c>
      <c r="B139" s="39">
        <f>SUMIFS(ItemInvoiceTracker!C:C,ItemInvoiceTracker!E:E,Data!A139)</f>
        <v>0</v>
      </c>
    </row>
    <row r="140" spans="1:2" x14ac:dyDescent="0.3">
      <c r="A140" s="38" t="str">
        <f>Lookup!A140</f>
        <v>D63</v>
      </c>
      <c r="B140" s="39">
        <f>SUMIFS(ItemInvoiceTracker!C:C,ItemInvoiceTracker!E:E,Data!A140)</f>
        <v>0</v>
      </c>
    </row>
    <row r="141" spans="1:2" x14ac:dyDescent="0.3">
      <c r="A141" s="38" t="str">
        <f>Lookup!A141</f>
        <v>D64</v>
      </c>
      <c r="B141" s="39">
        <f>SUMIFS(ItemInvoiceTracker!C:C,ItemInvoiceTracker!E:E,Data!A141)</f>
        <v>0</v>
      </c>
    </row>
    <row r="142" spans="1:2" x14ac:dyDescent="0.3">
      <c r="A142" s="38" t="str">
        <f>Lookup!A142</f>
        <v>D65</v>
      </c>
      <c r="B142" s="39">
        <f>SUMIFS(ItemInvoiceTracker!C:C,ItemInvoiceTracker!E:E,Data!A142)</f>
        <v>0</v>
      </c>
    </row>
    <row r="143" spans="1:2" x14ac:dyDescent="0.3">
      <c r="A143" s="38" t="str">
        <f>Lookup!A143</f>
        <v>D66</v>
      </c>
      <c r="B143" s="39">
        <f>SUMIFS(ItemInvoiceTracker!C:C,ItemInvoiceTracker!E:E,Data!A143)</f>
        <v>0</v>
      </c>
    </row>
    <row r="144" spans="1:2" x14ac:dyDescent="0.3">
      <c r="A144" s="38" t="str">
        <f>Lookup!A144</f>
        <v>D67</v>
      </c>
      <c r="B144" s="39">
        <f>SUMIFS(ItemInvoiceTracker!C:C,ItemInvoiceTracker!E:E,Data!A144)</f>
        <v>0</v>
      </c>
    </row>
    <row r="145" spans="1:2" x14ac:dyDescent="0.3">
      <c r="A145" s="38" t="str">
        <f>Lookup!A145</f>
        <v>D68</v>
      </c>
      <c r="B145" s="39">
        <f>SUMIFS(ItemInvoiceTracker!C:C,ItemInvoiceTracker!E:E,Data!A145)</f>
        <v>0</v>
      </c>
    </row>
    <row r="146" spans="1:2" x14ac:dyDescent="0.3">
      <c r="A146" s="38" t="str">
        <f>Lookup!A146</f>
        <v>D69</v>
      </c>
      <c r="B146" s="39">
        <f>SUMIFS(ItemInvoiceTracker!C:C,ItemInvoiceTracker!E:E,Data!A146)</f>
        <v>0</v>
      </c>
    </row>
    <row r="147" spans="1:2" x14ac:dyDescent="0.3">
      <c r="A147" s="38" t="str">
        <f>Lookup!A147</f>
        <v>D70</v>
      </c>
      <c r="B147" s="39">
        <f>SUMIFS(ItemInvoiceTracker!C:C,ItemInvoiceTracker!E:E,Data!A147)</f>
        <v>0</v>
      </c>
    </row>
    <row r="148" spans="1:2" x14ac:dyDescent="0.3">
      <c r="A148" s="38" t="str">
        <f>Lookup!A148</f>
        <v>D71</v>
      </c>
      <c r="B148" s="39">
        <f>SUMIFS(ItemInvoiceTracker!C:C,ItemInvoiceTracker!E:E,Data!A148)</f>
        <v>0</v>
      </c>
    </row>
    <row r="149" spans="1:2" x14ac:dyDescent="0.3">
      <c r="A149" s="38" t="str">
        <f>Lookup!A149</f>
        <v>D72</v>
      </c>
      <c r="B149" s="39">
        <f>SUMIFS(ItemInvoiceTracker!C:C,ItemInvoiceTracker!E:E,Data!A149)</f>
        <v>0</v>
      </c>
    </row>
    <row r="150" spans="1:2" x14ac:dyDescent="0.3">
      <c r="A150" s="38" t="str">
        <f>Lookup!A150</f>
        <v>D73</v>
      </c>
      <c r="B150" s="39">
        <f>SUMIFS(ItemInvoiceTracker!C:C,ItemInvoiceTracker!E:E,Data!A150)</f>
        <v>0</v>
      </c>
    </row>
    <row r="151" spans="1:2" x14ac:dyDescent="0.3">
      <c r="A151" s="38" t="str">
        <f>Lookup!A151</f>
        <v>D74</v>
      </c>
      <c r="B151" s="39">
        <f>SUMIFS(ItemInvoiceTracker!C:C,ItemInvoiceTracker!E:E,Data!A151)</f>
        <v>0</v>
      </c>
    </row>
    <row r="152" spans="1:2" x14ac:dyDescent="0.3">
      <c r="A152" s="38" t="str">
        <f>Lookup!A152</f>
        <v>D75</v>
      </c>
      <c r="B152" s="39">
        <f>SUMIFS(ItemInvoiceTracker!C:C,ItemInvoiceTracker!E:E,Data!A152)</f>
        <v>0</v>
      </c>
    </row>
    <row r="153" spans="1:2" x14ac:dyDescent="0.3">
      <c r="A153" s="38" t="str">
        <f>Lookup!A153</f>
        <v>D76</v>
      </c>
      <c r="B153" s="39">
        <f>SUMIFS(ItemInvoiceTracker!C:C,ItemInvoiceTracker!E:E,Data!A153)</f>
        <v>0</v>
      </c>
    </row>
    <row r="154" spans="1:2" x14ac:dyDescent="0.3">
      <c r="A154" s="38" t="str">
        <f>Lookup!A154</f>
        <v>D77</v>
      </c>
      <c r="B154" s="39">
        <f>SUMIFS(ItemInvoiceTracker!C:C,ItemInvoiceTracker!E:E,Data!A154)</f>
        <v>0</v>
      </c>
    </row>
    <row r="155" spans="1:2" x14ac:dyDescent="0.3">
      <c r="A155" s="38" t="str">
        <f>Lookup!A155</f>
        <v>D78</v>
      </c>
      <c r="B155" s="39">
        <f>SUMIFS(ItemInvoiceTracker!C:C,ItemInvoiceTracker!E:E,Data!A155)</f>
        <v>0</v>
      </c>
    </row>
    <row r="156" spans="1:2" x14ac:dyDescent="0.3">
      <c r="A156" s="38" t="str">
        <f>Lookup!A156</f>
        <v>D79</v>
      </c>
      <c r="B156" s="39">
        <f>SUMIFS(ItemInvoiceTracker!C:C,ItemInvoiceTracker!E:E,Data!A156)</f>
        <v>0</v>
      </c>
    </row>
    <row r="157" spans="1:2" x14ac:dyDescent="0.3">
      <c r="A157" s="38" t="str">
        <f>Lookup!A157</f>
        <v>D80</v>
      </c>
      <c r="B157" s="39">
        <f>SUMIFS(ItemInvoiceTracker!C:C,ItemInvoiceTracker!E:E,Data!A157)</f>
        <v>0</v>
      </c>
    </row>
    <row r="158" spans="1:2" x14ac:dyDescent="0.3">
      <c r="A158" s="38" t="str">
        <f>Lookup!A158</f>
        <v>D81</v>
      </c>
      <c r="B158" s="39">
        <f>SUMIFS(ItemInvoiceTracker!C:C,ItemInvoiceTracker!E:E,Data!A158)</f>
        <v>0</v>
      </c>
    </row>
    <row r="159" spans="1:2" x14ac:dyDescent="0.3">
      <c r="A159" s="38" t="str">
        <f>Lookup!A159</f>
        <v>D82</v>
      </c>
      <c r="B159" s="39">
        <f>SUMIFS(ItemInvoiceTracker!C:C,ItemInvoiceTracker!E:E,Data!A159)</f>
        <v>0</v>
      </c>
    </row>
    <row r="160" spans="1:2" x14ac:dyDescent="0.3">
      <c r="A160" s="38" t="str">
        <f>Lookup!A160</f>
        <v>D83</v>
      </c>
      <c r="B160" s="39">
        <f>SUMIFS(ItemInvoiceTracker!C:C,ItemInvoiceTracker!E:E,Data!A160)</f>
        <v>0</v>
      </c>
    </row>
    <row r="161" spans="1:2" x14ac:dyDescent="0.3">
      <c r="A161" s="38" t="str">
        <f>Lookup!A161</f>
        <v>D84</v>
      </c>
      <c r="B161" s="39">
        <f>SUMIFS(ItemInvoiceTracker!C:C,ItemInvoiceTracker!E:E,Data!A161)</f>
        <v>0</v>
      </c>
    </row>
    <row r="162" spans="1:2" x14ac:dyDescent="0.3">
      <c r="A162" s="38" t="str">
        <f>Lookup!A162</f>
        <v>D85</v>
      </c>
      <c r="B162" s="39">
        <f>SUMIFS(ItemInvoiceTracker!C:C,ItemInvoiceTracker!E:E,Data!A162)</f>
        <v>0</v>
      </c>
    </row>
    <row r="163" spans="1:2" x14ac:dyDescent="0.3">
      <c r="A163" s="38" t="str">
        <f>Lookup!A163</f>
        <v>D86</v>
      </c>
      <c r="B163" s="39">
        <f>SUMIFS(ItemInvoiceTracker!C:C,ItemInvoiceTracker!E:E,Data!A163)</f>
        <v>0</v>
      </c>
    </row>
    <row r="164" spans="1:2" x14ac:dyDescent="0.3">
      <c r="A164" s="38" t="str">
        <f>Lookup!A164</f>
        <v>D87</v>
      </c>
      <c r="B164" s="39">
        <f>SUMIFS(ItemInvoiceTracker!C:C,ItemInvoiceTracker!E:E,Data!A164)</f>
        <v>0</v>
      </c>
    </row>
    <row r="165" spans="1:2" x14ac:dyDescent="0.3">
      <c r="A165" s="38" t="str">
        <f>Lookup!A165</f>
        <v>D88</v>
      </c>
      <c r="B165" s="39">
        <f>SUMIFS(ItemInvoiceTracker!C:C,ItemInvoiceTracker!E:E,Data!A165)</f>
        <v>0</v>
      </c>
    </row>
    <row r="166" spans="1:2" x14ac:dyDescent="0.3">
      <c r="A166" s="38" t="str">
        <f>Lookup!A166</f>
        <v>D89</v>
      </c>
      <c r="B166" s="39">
        <f>SUMIFS(ItemInvoiceTracker!C:C,ItemInvoiceTracker!E:E,Data!A166)</f>
        <v>0</v>
      </c>
    </row>
    <row r="167" spans="1:2" x14ac:dyDescent="0.3">
      <c r="A167" s="38" t="str">
        <f>Lookup!A167</f>
        <v>D90</v>
      </c>
      <c r="B167" s="39">
        <f>SUMIFS(ItemInvoiceTracker!C:C,ItemInvoiceTracker!E:E,Data!A167)</f>
        <v>0</v>
      </c>
    </row>
    <row r="168" spans="1:2" x14ac:dyDescent="0.3">
      <c r="A168" s="38" t="str">
        <f>Lookup!A168</f>
        <v>D91</v>
      </c>
      <c r="B168" s="39">
        <f>SUMIFS(ItemInvoiceTracker!C:C,ItemInvoiceTracker!E:E,Data!A168)</f>
        <v>0</v>
      </c>
    </row>
    <row r="169" spans="1:2" x14ac:dyDescent="0.3">
      <c r="A169" s="38" t="str">
        <f>Lookup!A169</f>
        <v>D92</v>
      </c>
      <c r="B169" s="39">
        <f>SUMIFS(ItemInvoiceTracker!C:C,ItemInvoiceTracker!E:E,Data!A169)</f>
        <v>0</v>
      </c>
    </row>
    <row r="170" spans="1:2" x14ac:dyDescent="0.3">
      <c r="A170" s="38" t="str">
        <f>Lookup!A170</f>
        <v>D93</v>
      </c>
      <c r="B170" s="39">
        <f>SUMIFS(ItemInvoiceTracker!C:C,ItemInvoiceTracker!E:E,Data!A170)</f>
        <v>0</v>
      </c>
    </row>
    <row r="171" spans="1:2" x14ac:dyDescent="0.3">
      <c r="A171" s="38" t="str">
        <f>Lookup!A171</f>
        <v>D94</v>
      </c>
      <c r="B171" s="39">
        <f>SUMIFS(ItemInvoiceTracker!C:C,ItemInvoiceTracker!E:E,Data!A171)</f>
        <v>0</v>
      </c>
    </row>
    <row r="172" spans="1:2" x14ac:dyDescent="0.3">
      <c r="A172" s="38" t="str">
        <f>Lookup!A172</f>
        <v>D95</v>
      </c>
      <c r="B172" s="39">
        <f>SUMIFS(ItemInvoiceTracker!C:C,ItemInvoiceTracker!E:E,Data!A172)</f>
        <v>0</v>
      </c>
    </row>
    <row r="173" spans="1:2" x14ac:dyDescent="0.3">
      <c r="A173" s="38" t="str">
        <f>Lookup!A173</f>
        <v>D96</v>
      </c>
      <c r="B173" s="39">
        <f>SUMIFS(ItemInvoiceTracker!C:C,ItemInvoiceTracker!E:E,Data!A173)</f>
        <v>0</v>
      </c>
    </row>
    <row r="174" spans="1:2" x14ac:dyDescent="0.3">
      <c r="A174" s="38" t="str">
        <f>Lookup!A174</f>
        <v>D97</v>
      </c>
      <c r="B174" s="39">
        <f>SUMIFS(ItemInvoiceTracker!C:C,ItemInvoiceTracker!E:E,Data!A174)</f>
        <v>0</v>
      </c>
    </row>
    <row r="175" spans="1:2" x14ac:dyDescent="0.3">
      <c r="A175" s="38" t="str">
        <f>Lookup!A175</f>
        <v>D98</v>
      </c>
      <c r="B175" s="39">
        <f>SUMIFS(ItemInvoiceTracker!C:C,ItemInvoiceTracker!E:E,Data!A175)</f>
        <v>0</v>
      </c>
    </row>
    <row r="176" spans="1:2" x14ac:dyDescent="0.3">
      <c r="A176" s="38" t="str">
        <f>Lookup!A176</f>
        <v>D99</v>
      </c>
      <c r="B176" s="39">
        <f>SUMIFS(ItemInvoiceTracker!C:C,ItemInvoiceTracker!E:E,Data!A176)</f>
        <v>0</v>
      </c>
    </row>
    <row r="177" spans="1:2" x14ac:dyDescent="0.3">
      <c r="A177" s="38" t="str">
        <f>Lookup!A177</f>
        <v>D100</v>
      </c>
      <c r="B177" s="39">
        <f>SUMIFS(ItemInvoiceTracker!C:C,ItemInvoiceTracker!E:E,Data!A177)</f>
        <v>0</v>
      </c>
    </row>
    <row r="178" spans="1:2" x14ac:dyDescent="0.3">
      <c r="A178" s="38" t="str">
        <f>Lookup!A178</f>
        <v>D101</v>
      </c>
      <c r="B178" s="39">
        <f>SUMIFS(ItemInvoiceTracker!C:C,ItemInvoiceTracker!E:E,Data!A178)</f>
        <v>0</v>
      </c>
    </row>
    <row r="179" spans="1:2" x14ac:dyDescent="0.3">
      <c r="A179" s="38" t="str">
        <f>Lookup!A179</f>
        <v>D102</v>
      </c>
      <c r="B179" s="39">
        <f>SUMIFS(ItemInvoiceTracker!C:C,ItemInvoiceTracker!E:E,Data!A179)</f>
        <v>0</v>
      </c>
    </row>
    <row r="180" spans="1:2" x14ac:dyDescent="0.3">
      <c r="A180" s="38" t="str">
        <f>Lookup!A180</f>
        <v>D103</v>
      </c>
      <c r="B180" s="39">
        <f>SUMIFS(ItemInvoiceTracker!C:C,ItemInvoiceTracker!E:E,Data!A180)</f>
        <v>0</v>
      </c>
    </row>
    <row r="181" spans="1:2" x14ac:dyDescent="0.3">
      <c r="A181" s="38" t="str">
        <f>Lookup!A181</f>
        <v>D104</v>
      </c>
      <c r="B181" s="39">
        <f>SUMIFS(ItemInvoiceTracker!C:C,ItemInvoiceTracker!E:E,Data!A181)</f>
        <v>0</v>
      </c>
    </row>
    <row r="182" spans="1:2" x14ac:dyDescent="0.3">
      <c r="A182" s="38" t="str">
        <f>Lookup!A182</f>
        <v>D105</v>
      </c>
      <c r="B182" s="39">
        <f>SUMIFS(ItemInvoiceTracker!C:C,ItemInvoiceTracker!E:E,Data!A182)</f>
        <v>0</v>
      </c>
    </row>
    <row r="183" spans="1:2" x14ac:dyDescent="0.3">
      <c r="A183" s="38" t="str">
        <f>Lookup!A183</f>
        <v>D106</v>
      </c>
      <c r="B183" s="39">
        <f>SUMIFS(ItemInvoiceTracker!C:C,ItemInvoiceTracker!E:E,Data!A183)</f>
        <v>0</v>
      </c>
    </row>
    <row r="184" spans="1:2" x14ac:dyDescent="0.3">
      <c r="A184" s="38" t="str">
        <f>Lookup!A184</f>
        <v>D107</v>
      </c>
      <c r="B184" s="39">
        <f>SUMIFS(ItemInvoiceTracker!C:C,ItemInvoiceTracker!E:E,Data!A184)</f>
        <v>0</v>
      </c>
    </row>
    <row r="185" spans="1:2" x14ac:dyDescent="0.3">
      <c r="A185" s="38" t="str">
        <f>Lookup!A185</f>
        <v>D108</v>
      </c>
      <c r="B185" s="39">
        <f>SUMIFS(ItemInvoiceTracker!C:C,ItemInvoiceTracker!E:E,Data!A185)</f>
        <v>0</v>
      </c>
    </row>
    <row r="186" spans="1:2" x14ac:dyDescent="0.3">
      <c r="A186" s="38" t="str">
        <f>Lookup!A186</f>
        <v>D109</v>
      </c>
      <c r="B186" s="39">
        <f>SUMIFS(ItemInvoiceTracker!C:C,ItemInvoiceTracker!E:E,Data!A186)</f>
        <v>0</v>
      </c>
    </row>
    <row r="187" spans="1:2" x14ac:dyDescent="0.3">
      <c r="A187" s="38" t="str">
        <f>Lookup!A187</f>
        <v>D110</v>
      </c>
      <c r="B187" s="39">
        <f>SUMIFS(ItemInvoiceTracker!C:C,ItemInvoiceTracker!E:E,Data!A187)</f>
        <v>0</v>
      </c>
    </row>
    <row r="188" spans="1:2" x14ac:dyDescent="0.3">
      <c r="A188" s="38" t="str">
        <f>Lookup!A188</f>
        <v>D111</v>
      </c>
      <c r="B188" s="39">
        <f>SUMIFS(ItemInvoiceTracker!C:C,ItemInvoiceTracker!E:E,Data!A188)</f>
        <v>0</v>
      </c>
    </row>
    <row r="189" spans="1:2" x14ac:dyDescent="0.3">
      <c r="A189" s="38" t="str">
        <f>Lookup!A189</f>
        <v>D112</v>
      </c>
      <c r="B189" s="39">
        <f>SUMIFS(ItemInvoiceTracker!C:C,ItemInvoiceTracker!E:E,Data!A189)</f>
        <v>0</v>
      </c>
    </row>
    <row r="190" spans="1:2" x14ac:dyDescent="0.3">
      <c r="A190" s="38" t="str">
        <f>Lookup!A190</f>
        <v>D113</v>
      </c>
      <c r="B190" s="39">
        <f>SUMIFS(ItemInvoiceTracker!C:C,ItemInvoiceTracker!E:E,Data!A190)</f>
        <v>0</v>
      </c>
    </row>
    <row r="191" spans="1:2" x14ac:dyDescent="0.3">
      <c r="A191" s="38" t="str">
        <f>Lookup!A191</f>
        <v>D114</v>
      </c>
      <c r="B191" s="39">
        <f>SUMIFS(ItemInvoiceTracker!C:C,ItemInvoiceTracker!E:E,Data!A191)</f>
        <v>0</v>
      </c>
    </row>
    <row r="192" spans="1:2" x14ac:dyDescent="0.3">
      <c r="A192" s="38" t="str">
        <f>Lookup!A192</f>
        <v>D115</v>
      </c>
      <c r="B192" s="39">
        <f>SUMIFS(ItemInvoiceTracker!C:C,ItemInvoiceTracker!E:E,Data!A192)</f>
        <v>0</v>
      </c>
    </row>
    <row r="193" spans="1:2" x14ac:dyDescent="0.3">
      <c r="A193" s="38" t="str">
        <f>Lookup!A193</f>
        <v>D116</v>
      </c>
      <c r="B193" s="39">
        <f>SUMIFS(ItemInvoiceTracker!C:C,ItemInvoiceTracker!E:E,Data!A193)</f>
        <v>0</v>
      </c>
    </row>
    <row r="194" spans="1:2" x14ac:dyDescent="0.3">
      <c r="A194" s="38" t="str">
        <f>Lookup!A194</f>
        <v>D117</v>
      </c>
      <c r="B194" s="39">
        <f>SUMIFS(ItemInvoiceTracker!C:C,ItemInvoiceTracker!E:E,Data!A194)</f>
        <v>0</v>
      </c>
    </row>
    <row r="195" spans="1:2" x14ac:dyDescent="0.3">
      <c r="A195" s="38" t="str">
        <f>Lookup!A195</f>
        <v>D118</v>
      </c>
      <c r="B195" s="39">
        <f>SUMIFS(ItemInvoiceTracker!C:C,ItemInvoiceTracker!E:E,Data!A195)</f>
        <v>0</v>
      </c>
    </row>
    <row r="196" spans="1:2" x14ac:dyDescent="0.3">
      <c r="A196" s="38" t="str">
        <f>Lookup!A196</f>
        <v>D119</v>
      </c>
      <c r="B196" s="39">
        <f>SUMIFS(ItemInvoiceTracker!C:C,ItemInvoiceTracker!E:E,Data!A196)</f>
        <v>0</v>
      </c>
    </row>
    <row r="197" spans="1:2" x14ac:dyDescent="0.3">
      <c r="A197" s="38" t="str">
        <f>Lookup!A197</f>
        <v>D120</v>
      </c>
      <c r="B197" s="39">
        <f>SUMIFS(ItemInvoiceTracker!C:C,ItemInvoiceTracker!E:E,Data!A197)</f>
        <v>0</v>
      </c>
    </row>
    <row r="198" spans="1:2" x14ac:dyDescent="0.3">
      <c r="A198" s="38" t="str">
        <f>Lookup!A198</f>
        <v>D121</v>
      </c>
      <c r="B198" s="39">
        <f>SUMIFS(ItemInvoiceTracker!C:C,ItemInvoiceTracker!E:E,Data!A198)</f>
        <v>0</v>
      </c>
    </row>
    <row r="199" spans="1:2" x14ac:dyDescent="0.3">
      <c r="A199" s="38" t="str">
        <f>Lookup!A199</f>
        <v>D122</v>
      </c>
      <c r="B199" s="39">
        <f>SUMIFS(ItemInvoiceTracker!C:C,ItemInvoiceTracker!E:E,Data!A199)</f>
        <v>0</v>
      </c>
    </row>
    <row r="200" spans="1:2" x14ac:dyDescent="0.3">
      <c r="A200" s="38" t="str">
        <f>Lookup!A200</f>
        <v>D123</v>
      </c>
      <c r="B200" s="39">
        <f>SUMIFS(ItemInvoiceTracker!C:C,ItemInvoiceTracker!E:E,Data!A200)</f>
        <v>0</v>
      </c>
    </row>
    <row r="201" spans="1:2" x14ac:dyDescent="0.3">
      <c r="A201" s="38" t="str">
        <f>Lookup!A201</f>
        <v>D124</v>
      </c>
      <c r="B201" s="39">
        <f>SUMIFS(ItemInvoiceTracker!C:C,ItemInvoiceTracker!E:E,Data!A201)</f>
        <v>0</v>
      </c>
    </row>
    <row r="202" spans="1:2" x14ac:dyDescent="0.3">
      <c r="A202" s="38" t="str">
        <f>Lookup!A202</f>
        <v>D125</v>
      </c>
      <c r="B202" s="39">
        <f>SUMIFS(ItemInvoiceTracker!C:C,ItemInvoiceTracker!E:E,Data!A202)</f>
        <v>0</v>
      </c>
    </row>
    <row r="203" spans="1:2" x14ac:dyDescent="0.3">
      <c r="A203" s="38" t="str">
        <f>Lookup!A203</f>
        <v>D126</v>
      </c>
      <c r="B203" s="39">
        <f>SUMIFS(ItemInvoiceTracker!C:C,ItemInvoiceTracker!E:E,Data!A203)</f>
        <v>0</v>
      </c>
    </row>
    <row r="204" spans="1:2" x14ac:dyDescent="0.3">
      <c r="A204" s="38" t="str">
        <f>Lookup!A204</f>
        <v>D127</v>
      </c>
      <c r="B204" s="39">
        <f>SUMIFS(ItemInvoiceTracker!C:C,ItemInvoiceTracker!E:E,Data!A204)</f>
        <v>0</v>
      </c>
    </row>
    <row r="205" spans="1:2" x14ac:dyDescent="0.3">
      <c r="A205" s="38" t="str">
        <f>Lookup!A205</f>
        <v>D128</v>
      </c>
      <c r="B205" s="39">
        <f>SUMIFS(ItemInvoiceTracker!C:C,ItemInvoiceTracker!E:E,Data!A205)</f>
        <v>0</v>
      </c>
    </row>
    <row r="206" spans="1:2" x14ac:dyDescent="0.3">
      <c r="A206" s="38" t="str">
        <f>Lookup!A206</f>
        <v>D129</v>
      </c>
      <c r="B206" s="39">
        <f>SUMIFS(ItemInvoiceTracker!C:C,ItemInvoiceTracker!E:E,Data!A206)</f>
        <v>0</v>
      </c>
    </row>
    <row r="207" spans="1:2" x14ac:dyDescent="0.3">
      <c r="A207" s="38" t="str">
        <f>Lookup!A207</f>
        <v>D130</v>
      </c>
      <c r="B207" s="39">
        <f>SUMIFS(ItemInvoiceTracker!C:C,ItemInvoiceTracker!E:E,Data!A207)</f>
        <v>0</v>
      </c>
    </row>
    <row r="208" spans="1:2" x14ac:dyDescent="0.3">
      <c r="A208" s="38" t="str">
        <f>Lookup!A208</f>
        <v>D131</v>
      </c>
      <c r="B208" s="39">
        <f>SUMIFS(ItemInvoiceTracker!C:C,ItemInvoiceTracker!E:E,Data!A208)</f>
        <v>0</v>
      </c>
    </row>
    <row r="209" spans="1:2" x14ac:dyDescent="0.3">
      <c r="A209" s="38" t="str">
        <f>Lookup!A209</f>
        <v>D132</v>
      </c>
      <c r="B209" s="39">
        <f>SUMIFS(ItemInvoiceTracker!C:C,ItemInvoiceTracker!E:E,Data!A209)</f>
        <v>0</v>
      </c>
    </row>
    <row r="210" spans="1:2" x14ac:dyDescent="0.3">
      <c r="A210" s="38" t="str">
        <f>Lookup!A210</f>
        <v>D133</v>
      </c>
      <c r="B210" s="39">
        <f>SUMIFS(ItemInvoiceTracker!C:C,ItemInvoiceTracker!E:E,Data!A210)</f>
        <v>0</v>
      </c>
    </row>
    <row r="211" spans="1:2" x14ac:dyDescent="0.3">
      <c r="A211" s="38" t="str">
        <f>Lookup!A211</f>
        <v>D134</v>
      </c>
      <c r="B211" s="39">
        <f>SUMIFS(ItemInvoiceTracker!C:C,ItemInvoiceTracker!E:E,Data!A211)</f>
        <v>0</v>
      </c>
    </row>
    <row r="212" spans="1:2" x14ac:dyDescent="0.3">
      <c r="A212" s="38" t="str">
        <f>Lookup!A212</f>
        <v>D135</v>
      </c>
      <c r="B212" s="39">
        <f>SUMIFS(ItemInvoiceTracker!C:C,ItemInvoiceTracker!E:E,Data!A212)</f>
        <v>0</v>
      </c>
    </row>
    <row r="213" spans="1:2" x14ac:dyDescent="0.3">
      <c r="A213" s="38" t="str">
        <f>Lookup!A213</f>
        <v>D136</v>
      </c>
      <c r="B213" s="39">
        <f>SUMIFS(ItemInvoiceTracker!C:C,ItemInvoiceTracker!E:E,Data!A213)</f>
        <v>0</v>
      </c>
    </row>
    <row r="214" spans="1:2" x14ac:dyDescent="0.3">
      <c r="A214" s="38" t="str">
        <f>Lookup!A214</f>
        <v>D137</v>
      </c>
      <c r="B214" s="39">
        <f>SUMIFS(ItemInvoiceTracker!C:C,ItemInvoiceTracker!E:E,Data!A214)</f>
        <v>0</v>
      </c>
    </row>
    <row r="215" spans="1:2" x14ac:dyDescent="0.3">
      <c r="A215" s="38" t="str">
        <f>Lookup!A215</f>
        <v>D138</v>
      </c>
      <c r="B215" s="39">
        <f>SUMIFS(ItemInvoiceTracker!C:C,ItemInvoiceTracker!E:E,Data!A215)</f>
        <v>0</v>
      </c>
    </row>
    <row r="216" spans="1:2" x14ac:dyDescent="0.3">
      <c r="A216" s="38" t="str">
        <f>Lookup!A216</f>
        <v>D139</v>
      </c>
      <c r="B216" s="39">
        <f>SUMIFS(ItemInvoiceTracker!C:C,ItemInvoiceTracker!E:E,Data!A216)</f>
        <v>0</v>
      </c>
    </row>
    <row r="217" spans="1:2" x14ac:dyDescent="0.3">
      <c r="A217" s="38" t="str">
        <f>Lookup!A217</f>
        <v>D140</v>
      </c>
      <c r="B217" s="39">
        <f>SUMIFS(ItemInvoiceTracker!C:C,ItemInvoiceTracker!E:E,Data!A217)</f>
        <v>0</v>
      </c>
    </row>
    <row r="218" spans="1:2" x14ac:dyDescent="0.3">
      <c r="A218" s="38" t="str">
        <f>Lookup!A218</f>
        <v>D141</v>
      </c>
      <c r="B218" s="39">
        <f>SUMIFS(ItemInvoiceTracker!C:C,ItemInvoiceTracker!E:E,Data!A218)</f>
        <v>0</v>
      </c>
    </row>
    <row r="219" spans="1:2" x14ac:dyDescent="0.3">
      <c r="A219" s="38" t="str">
        <f>Lookup!A219</f>
        <v>D142</v>
      </c>
      <c r="B219" s="39">
        <f>SUMIFS(ItemInvoiceTracker!C:C,ItemInvoiceTracker!E:E,Data!A219)</f>
        <v>0</v>
      </c>
    </row>
    <row r="220" spans="1:2" x14ac:dyDescent="0.3">
      <c r="A220" s="38" t="str">
        <f>Lookup!A220</f>
        <v>D143</v>
      </c>
      <c r="B220" s="39">
        <f>SUMIFS(ItemInvoiceTracker!C:C,ItemInvoiceTracker!E:E,Data!A220)</f>
        <v>0</v>
      </c>
    </row>
    <row r="221" spans="1:2" x14ac:dyDescent="0.3">
      <c r="A221" s="38" t="str">
        <f>Lookup!A221</f>
        <v>D144</v>
      </c>
      <c r="B221" s="39">
        <f>SUMIFS(ItemInvoiceTracker!C:C,ItemInvoiceTracker!E:E,Data!A221)</f>
        <v>0</v>
      </c>
    </row>
    <row r="222" spans="1:2" x14ac:dyDescent="0.3">
      <c r="A222" s="38" t="str">
        <f>Lookup!A222</f>
        <v>D145</v>
      </c>
      <c r="B222" s="39">
        <f>SUMIFS(ItemInvoiceTracker!C:C,ItemInvoiceTracker!E:E,Data!A222)</f>
        <v>0</v>
      </c>
    </row>
    <row r="223" spans="1:2" x14ac:dyDescent="0.3">
      <c r="A223" s="38" t="str">
        <f>Lookup!A223</f>
        <v>D146</v>
      </c>
      <c r="B223" s="39">
        <f>SUMIFS(ItemInvoiceTracker!C:C,ItemInvoiceTracker!E:E,Data!A223)</f>
        <v>0</v>
      </c>
    </row>
    <row r="224" spans="1:2" x14ac:dyDescent="0.3">
      <c r="A224" s="38" t="str">
        <f>Lookup!A224</f>
        <v>D147</v>
      </c>
      <c r="B224" s="39">
        <f>SUMIFS(ItemInvoiceTracker!C:C,ItemInvoiceTracker!E:E,Data!A224)</f>
        <v>0</v>
      </c>
    </row>
    <row r="225" spans="1:2" x14ac:dyDescent="0.3">
      <c r="A225" s="38" t="str">
        <f>Lookup!A225</f>
        <v>D148</v>
      </c>
      <c r="B225" s="39">
        <f>SUMIFS(ItemInvoiceTracker!C:C,ItemInvoiceTracker!E:E,Data!A225)</f>
        <v>0</v>
      </c>
    </row>
    <row r="226" spans="1:2" x14ac:dyDescent="0.3">
      <c r="A226" s="38" t="str">
        <f>Lookup!A226</f>
        <v>D149</v>
      </c>
      <c r="B226" s="39">
        <f>SUMIFS(ItemInvoiceTracker!C:C,ItemInvoiceTracker!E:E,Data!A226)</f>
        <v>0</v>
      </c>
    </row>
    <row r="227" spans="1:2" x14ac:dyDescent="0.3">
      <c r="A227" s="38" t="str">
        <f>Lookup!A227</f>
        <v>D150</v>
      </c>
      <c r="B227" s="39">
        <f>SUMIFS(ItemInvoiceTracker!C:C,ItemInvoiceTracker!E:E,Data!A227)</f>
        <v>0</v>
      </c>
    </row>
    <row r="228" spans="1:2" x14ac:dyDescent="0.3">
      <c r="A228" s="38" t="str">
        <f>Lookup!A228</f>
        <v>D151</v>
      </c>
      <c r="B228" s="39">
        <f>SUMIFS(ItemInvoiceTracker!C:C,ItemInvoiceTracker!E:E,Data!A228)</f>
        <v>0</v>
      </c>
    </row>
    <row r="229" spans="1:2" x14ac:dyDescent="0.3">
      <c r="A229" s="38" t="str">
        <f>Lookup!A229</f>
        <v>D152</v>
      </c>
      <c r="B229" s="39">
        <f>SUMIFS(ItemInvoiceTracker!C:C,ItemInvoiceTracker!E:E,Data!A229)</f>
        <v>0</v>
      </c>
    </row>
    <row r="230" spans="1:2" x14ac:dyDescent="0.3">
      <c r="A230" s="38" t="str">
        <f>Lookup!A230</f>
        <v>D153</v>
      </c>
      <c r="B230" s="39">
        <f>SUMIFS(ItemInvoiceTracker!C:C,ItemInvoiceTracker!E:E,Data!A230)</f>
        <v>0</v>
      </c>
    </row>
    <row r="231" spans="1:2" x14ac:dyDescent="0.3">
      <c r="A231" s="38" t="str">
        <f>Lookup!A231</f>
        <v>D154</v>
      </c>
      <c r="B231" s="39">
        <f>SUMIFS(ItemInvoiceTracker!C:C,ItemInvoiceTracker!E:E,Data!A231)</f>
        <v>0</v>
      </c>
    </row>
    <row r="232" spans="1:2" x14ac:dyDescent="0.3">
      <c r="A232" s="38" t="str">
        <f>Lookup!A232</f>
        <v>D155</v>
      </c>
      <c r="B232" s="39">
        <f>SUMIFS(ItemInvoiceTracker!C:C,ItemInvoiceTracker!E:E,Data!A232)</f>
        <v>0</v>
      </c>
    </row>
    <row r="233" spans="1:2" x14ac:dyDescent="0.3">
      <c r="A233" s="38" t="str">
        <f>Lookup!A233</f>
        <v>D156</v>
      </c>
      <c r="B233" s="39">
        <f>SUMIFS(ItemInvoiceTracker!C:C,ItemInvoiceTracker!E:E,Data!A233)</f>
        <v>0</v>
      </c>
    </row>
    <row r="234" spans="1:2" x14ac:dyDescent="0.3">
      <c r="A234" s="38" t="str">
        <f>Lookup!A234</f>
        <v>D157</v>
      </c>
      <c r="B234" s="39">
        <f>SUMIFS(ItemInvoiceTracker!C:C,ItemInvoiceTracker!E:E,Data!A234)</f>
        <v>0</v>
      </c>
    </row>
    <row r="235" spans="1:2" x14ac:dyDescent="0.3">
      <c r="A235" s="38" t="str">
        <f>Lookup!A235</f>
        <v>D158</v>
      </c>
      <c r="B235" s="39">
        <f>SUMIFS(ItemInvoiceTracker!C:C,ItemInvoiceTracker!E:E,Data!A235)</f>
        <v>0</v>
      </c>
    </row>
    <row r="236" spans="1:2" x14ac:dyDescent="0.3">
      <c r="A236" s="38" t="str">
        <f>Lookup!A236</f>
        <v>D159</v>
      </c>
      <c r="B236" s="39">
        <f>SUMIFS(ItemInvoiceTracker!C:C,ItemInvoiceTracker!E:E,Data!A236)</f>
        <v>0</v>
      </c>
    </row>
    <row r="237" spans="1:2" x14ac:dyDescent="0.3">
      <c r="A237" s="38" t="str">
        <f>Lookup!A237</f>
        <v>D160</v>
      </c>
      <c r="B237" s="39">
        <f>SUMIFS(ItemInvoiceTracker!C:C,ItemInvoiceTracker!E:E,Data!A237)</f>
        <v>0</v>
      </c>
    </row>
    <row r="238" spans="1:2" x14ac:dyDescent="0.3">
      <c r="A238" s="38" t="str">
        <f>Lookup!A238</f>
        <v>D161</v>
      </c>
      <c r="B238" s="39">
        <f>SUMIFS(ItemInvoiceTracker!C:C,ItemInvoiceTracker!E:E,Data!A238)</f>
        <v>0</v>
      </c>
    </row>
    <row r="239" spans="1:2" x14ac:dyDescent="0.3">
      <c r="A239" s="38" t="str">
        <f>Lookup!A239</f>
        <v>D162</v>
      </c>
      <c r="B239" s="39">
        <f>SUMIFS(ItemInvoiceTracker!C:C,ItemInvoiceTracker!E:E,Data!A239)</f>
        <v>0</v>
      </c>
    </row>
    <row r="240" spans="1:2" x14ac:dyDescent="0.3">
      <c r="A240" s="38" t="str">
        <f>Lookup!A240</f>
        <v>D163</v>
      </c>
      <c r="B240" s="39">
        <f>SUMIFS(ItemInvoiceTracker!C:C,ItemInvoiceTracker!E:E,Data!A240)</f>
        <v>0</v>
      </c>
    </row>
    <row r="241" spans="1:2" x14ac:dyDescent="0.3">
      <c r="A241" s="38" t="str">
        <f>Lookup!A241</f>
        <v>D164</v>
      </c>
      <c r="B241" s="39">
        <f>SUMIFS(ItemInvoiceTracker!C:C,ItemInvoiceTracker!E:E,Data!A241)</f>
        <v>0</v>
      </c>
    </row>
    <row r="242" spans="1:2" x14ac:dyDescent="0.3">
      <c r="A242" s="38" t="str">
        <f>Lookup!A242</f>
        <v>D165</v>
      </c>
      <c r="B242" s="39">
        <f>SUMIFS(ItemInvoiceTracker!C:C,ItemInvoiceTracker!E:E,Data!A242)</f>
        <v>0</v>
      </c>
    </row>
    <row r="243" spans="1:2" x14ac:dyDescent="0.3">
      <c r="A243" s="38" t="str">
        <f>Lookup!A243</f>
        <v>D166</v>
      </c>
      <c r="B243" s="39">
        <f>SUMIFS(ItemInvoiceTracker!C:C,ItemInvoiceTracker!E:E,Data!A243)</f>
        <v>0</v>
      </c>
    </row>
    <row r="244" spans="1:2" x14ac:dyDescent="0.3">
      <c r="A244" s="38" t="str">
        <f>Lookup!A244</f>
        <v>D167</v>
      </c>
      <c r="B244" s="39">
        <f>SUMIFS(ItemInvoiceTracker!C:C,ItemInvoiceTracker!E:E,Data!A244)</f>
        <v>0</v>
      </c>
    </row>
    <row r="245" spans="1:2" x14ac:dyDescent="0.3">
      <c r="A245" s="38" t="str">
        <f>Lookup!A245</f>
        <v>D168</v>
      </c>
      <c r="B245" s="39">
        <f>SUMIFS(ItemInvoiceTracker!C:C,ItemInvoiceTracker!E:E,Data!A245)</f>
        <v>0</v>
      </c>
    </row>
    <row r="246" spans="1:2" x14ac:dyDescent="0.3">
      <c r="A246" s="38" t="str">
        <f>Lookup!A246</f>
        <v>D169</v>
      </c>
      <c r="B246" s="39">
        <f>SUMIFS(ItemInvoiceTracker!C:C,ItemInvoiceTracker!E:E,Data!A246)</f>
        <v>0</v>
      </c>
    </row>
    <row r="247" spans="1:2" x14ac:dyDescent="0.3">
      <c r="A247" s="38" t="str">
        <f>Lookup!A247</f>
        <v>D170</v>
      </c>
      <c r="B247" s="39">
        <f>SUMIFS(ItemInvoiceTracker!C:C,ItemInvoiceTracker!E:E,Data!A247)</f>
        <v>0</v>
      </c>
    </row>
    <row r="248" spans="1:2" x14ac:dyDescent="0.3">
      <c r="A248" s="38" t="str">
        <f>Lookup!A248</f>
        <v>D171</v>
      </c>
      <c r="B248" s="39">
        <f>SUMIFS(ItemInvoiceTracker!C:C,ItemInvoiceTracker!E:E,Data!A248)</f>
        <v>0</v>
      </c>
    </row>
    <row r="249" spans="1:2" x14ac:dyDescent="0.3">
      <c r="A249" s="38" t="str">
        <f>Lookup!A249</f>
        <v>D172</v>
      </c>
      <c r="B249" s="39">
        <f>SUMIFS(ItemInvoiceTracker!C:C,ItemInvoiceTracker!E:E,Data!A249)</f>
        <v>0</v>
      </c>
    </row>
    <row r="250" spans="1:2" x14ac:dyDescent="0.3">
      <c r="A250" s="38" t="str">
        <f>Lookup!A250</f>
        <v>D173</v>
      </c>
      <c r="B250" s="39">
        <f>SUMIFS(ItemInvoiceTracker!C:C,ItemInvoiceTracker!E:E,Data!A250)</f>
        <v>0</v>
      </c>
    </row>
    <row r="251" spans="1:2" x14ac:dyDescent="0.3">
      <c r="A251" s="38" t="str">
        <f>Lookup!A251</f>
        <v>D174</v>
      </c>
      <c r="B251" s="39">
        <f>SUMIFS(ItemInvoiceTracker!C:C,ItemInvoiceTracker!E:E,Data!A251)</f>
        <v>0</v>
      </c>
    </row>
    <row r="252" spans="1:2" x14ac:dyDescent="0.3">
      <c r="A252" s="38" t="str">
        <f>Lookup!A252</f>
        <v>D175</v>
      </c>
      <c r="B252" s="39">
        <f>SUMIFS(ItemInvoiceTracker!C:C,ItemInvoiceTracker!E:E,Data!A252)</f>
        <v>0</v>
      </c>
    </row>
    <row r="253" spans="1:2" x14ac:dyDescent="0.3">
      <c r="A253" s="38" t="str">
        <f>Lookup!A253</f>
        <v>D176</v>
      </c>
      <c r="B253" s="39">
        <f>SUMIFS(ItemInvoiceTracker!C:C,ItemInvoiceTracker!E:E,Data!A253)</f>
        <v>0</v>
      </c>
    </row>
    <row r="254" spans="1:2" x14ac:dyDescent="0.3">
      <c r="A254" s="38" t="str">
        <f>Lookup!A254</f>
        <v>D177</v>
      </c>
      <c r="B254" s="39">
        <f>SUMIFS(ItemInvoiceTracker!C:C,ItemInvoiceTracker!E:E,Data!A254)</f>
        <v>0</v>
      </c>
    </row>
    <row r="255" spans="1:2" x14ac:dyDescent="0.3">
      <c r="A255" s="38" t="str">
        <f>Lookup!A255</f>
        <v>D178</v>
      </c>
      <c r="B255" s="39">
        <f>SUMIFS(ItemInvoiceTracker!C:C,ItemInvoiceTracker!E:E,Data!A255)</f>
        <v>0</v>
      </c>
    </row>
    <row r="256" spans="1:2" x14ac:dyDescent="0.3">
      <c r="A256" s="38" t="str">
        <f>Lookup!A256</f>
        <v>D179</v>
      </c>
      <c r="B256" s="39">
        <f>SUMIFS(ItemInvoiceTracker!C:C,ItemInvoiceTracker!E:E,Data!A256)</f>
        <v>0</v>
      </c>
    </row>
    <row r="257" spans="1:2" x14ac:dyDescent="0.3">
      <c r="A257" s="38" t="str">
        <f>Lookup!A257</f>
        <v>D180</v>
      </c>
      <c r="B257" s="39">
        <f>SUMIFS(ItemInvoiceTracker!C:C,ItemInvoiceTracker!E:E,Data!A257)</f>
        <v>0</v>
      </c>
    </row>
    <row r="258" spans="1:2" x14ac:dyDescent="0.3">
      <c r="A258" s="38" t="str">
        <f>Lookup!A258</f>
        <v>D181</v>
      </c>
      <c r="B258" s="39">
        <f>SUMIFS(ItemInvoiceTracker!C:C,ItemInvoiceTracker!E:E,Data!A258)</f>
        <v>0</v>
      </c>
    </row>
    <row r="259" spans="1:2" x14ac:dyDescent="0.3">
      <c r="A259" s="38" t="str">
        <f>Lookup!A259</f>
        <v>D182</v>
      </c>
      <c r="B259" s="39">
        <f>SUMIFS(ItemInvoiceTracker!C:C,ItemInvoiceTracker!E:E,Data!A259)</f>
        <v>0</v>
      </c>
    </row>
    <row r="260" spans="1:2" x14ac:dyDescent="0.3">
      <c r="A260" s="38" t="str">
        <f>Lookup!A260</f>
        <v>D183</v>
      </c>
      <c r="B260" s="39">
        <f>SUMIFS(ItemInvoiceTracker!C:C,ItemInvoiceTracker!E:E,Data!A260)</f>
        <v>0</v>
      </c>
    </row>
    <row r="261" spans="1:2" x14ac:dyDescent="0.3">
      <c r="A261" s="38" t="str">
        <f>Lookup!A261</f>
        <v>D184</v>
      </c>
      <c r="B261" s="39">
        <f>SUMIFS(ItemInvoiceTracker!C:C,ItemInvoiceTracker!E:E,Data!A261)</f>
        <v>0</v>
      </c>
    </row>
    <row r="262" spans="1:2" x14ac:dyDescent="0.3">
      <c r="A262" s="38" t="str">
        <f>Lookup!A262</f>
        <v>D185</v>
      </c>
      <c r="B262" s="39">
        <f>SUMIFS(ItemInvoiceTracker!C:C,ItemInvoiceTracker!E:E,Data!A262)</f>
        <v>0</v>
      </c>
    </row>
    <row r="263" spans="1:2" x14ac:dyDescent="0.3">
      <c r="A263" s="38" t="str">
        <f>Lookup!A263</f>
        <v>D186</v>
      </c>
      <c r="B263" s="39">
        <f>SUMIFS(ItemInvoiceTracker!C:C,ItemInvoiceTracker!E:E,Data!A263)</f>
        <v>0</v>
      </c>
    </row>
    <row r="264" spans="1:2" x14ac:dyDescent="0.3">
      <c r="A264" s="38" t="str">
        <f>Lookup!A264</f>
        <v>D187</v>
      </c>
      <c r="B264" s="39">
        <f>SUMIFS(ItemInvoiceTracker!C:C,ItemInvoiceTracker!E:E,Data!A264)</f>
        <v>0</v>
      </c>
    </row>
    <row r="265" spans="1:2" x14ac:dyDescent="0.3">
      <c r="A265" s="38" t="str">
        <f>Lookup!A265</f>
        <v>D188</v>
      </c>
      <c r="B265" s="39">
        <f>SUMIFS(ItemInvoiceTracker!C:C,ItemInvoiceTracker!E:E,Data!A265)</f>
        <v>0</v>
      </c>
    </row>
    <row r="266" spans="1:2" x14ac:dyDescent="0.3">
      <c r="A266" s="38" t="str">
        <f>Lookup!A266</f>
        <v>D189</v>
      </c>
      <c r="B266" s="39">
        <f>SUMIFS(ItemInvoiceTracker!C:C,ItemInvoiceTracker!E:E,Data!A266)</f>
        <v>0</v>
      </c>
    </row>
    <row r="267" spans="1:2" x14ac:dyDescent="0.3">
      <c r="A267" s="38" t="str">
        <f>Lookup!A267</f>
        <v>D190</v>
      </c>
      <c r="B267" s="39">
        <f>SUMIFS(ItemInvoiceTracker!C:C,ItemInvoiceTracker!E:E,Data!A267)</f>
        <v>0</v>
      </c>
    </row>
    <row r="268" spans="1:2" x14ac:dyDescent="0.3">
      <c r="A268" s="38" t="str">
        <f>Lookup!A268</f>
        <v>D191</v>
      </c>
      <c r="B268" s="39">
        <f>SUMIFS(ItemInvoiceTracker!C:C,ItemInvoiceTracker!E:E,Data!A268)</f>
        <v>0</v>
      </c>
    </row>
    <row r="269" spans="1:2" x14ac:dyDescent="0.3">
      <c r="A269" s="38" t="str">
        <f>Lookup!A269</f>
        <v>D192</v>
      </c>
      <c r="B269" s="39">
        <f>SUMIFS(ItemInvoiceTracker!C:C,ItemInvoiceTracker!E:E,Data!A269)</f>
        <v>0</v>
      </c>
    </row>
    <row r="270" spans="1:2" x14ac:dyDescent="0.3">
      <c r="A270" s="38" t="str">
        <f>Lookup!A270</f>
        <v>D193</v>
      </c>
      <c r="B270" s="39">
        <f>SUMIFS(ItemInvoiceTracker!C:C,ItemInvoiceTracker!E:E,Data!A270)</f>
        <v>0</v>
      </c>
    </row>
    <row r="271" spans="1:2" x14ac:dyDescent="0.3">
      <c r="A271" s="38" t="str">
        <f>Lookup!A271</f>
        <v>D194</v>
      </c>
      <c r="B271" s="39">
        <f>SUMIFS(ItemInvoiceTracker!C:C,ItemInvoiceTracker!E:E,Data!A271)</f>
        <v>0</v>
      </c>
    </row>
    <row r="272" spans="1:2" x14ac:dyDescent="0.3">
      <c r="A272" s="38" t="str">
        <f>Lookup!A272</f>
        <v>D195</v>
      </c>
      <c r="B272" s="39">
        <f>SUMIFS(ItemInvoiceTracker!C:C,ItemInvoiceTracker!E:E,Data!A272)</f>
        <v>0</v>
      </c>
    </row>
    <row r="273" spans="1:2" x14ac:dyDescent="0.3">
      <c r="A273" s="38" t="str">
        <f>Lookup!A273</f>
        <v>D196</v>
      </c>
      <c r="B273" s="39">
        <f>SUMIFS(ItemInvoiceTracker!C:C,ItemInvoiceTracker!E:E,Data!A273)</f>
        <v>0</v>
      </c>
    </row>
    <row r="274" spans="1:2" x14ac:dyDescent="0.3">
      <c r="A274" s="38" t="str">
        <f>Lookup!A274</f>
        <v>D197</v>
      </c>
      <c r="B274" s="39">
        <f>SUMIFS(ItemInvoiceTracker!C:C,ItemInvoiceTracker!E:E,Data!A274)</f>
        <v>0</v>
      </c>
    </row>
    <row r="275" spans="1:2" x14ac:dyDescent="0.3">
      <c r="A275" s="38" t="str">
        <f>Lookup!A275</f>
        <v>D198</v>
      </c>
      <c r="B275" s="39">
        <f>SUMIFS(ItemInvoiceTracker!C:C,ItemInvoiceTracker!E:E,Data!A275)</f>
        <v>0</v>
      </c>
    </row>
    <row r="276" spans="1:2" x14ac:dyDescent="0.3">
      <c r="A276" s="38" t="str">
        <f>Lookup!A276</f>
        <v>D199</v>
      </c>
      <c r="B276" s="39">
        <f>SUMIFS(ItemInvoiceTracker!C:C,ItemInvoiceTracker!E:E,Data!A276)</f>
        <v>0</v>
      </c>
    </row>
    <row r="277" spans="1:2" x14ac:dyDescent="0.3">
      <c r="A277" s="38" t="str">
        <f>Lookup!A277</f>
        <v>D200</v>
      </c>
      <c r="B277" s="39">
        <f>SUMIFS(ItemInvoiceTracker!C:C,ItemInvoiceTracker!E:E,Data!A277)</f>
        <v>0</v>
      </c>
    </row>
    <row r="278" spans="1:2" x14ac:dyDescent="0.3">
      <c r="A278" s="38" t="str">
        <f>Lookup!A278</f>
        <v>D201</v>
      </c>
      <c r="B278" s="39">
        <f>SUMIFS(ItemInvoiceTracker!C:C,ItemInvoiceTracker!E:E,Data!A278)</f>
        <v>0</v>
      </c>
    </row>
    <row r="279" spans="1:2" x14ac:dyDescent="0.3">
      <c r="A279" s="38" t="str">
        <f>Lookup!A279</f>
        <v>D202</v>
      </c>
      <c r="B279" s="39">
        <f>SUMIFS(ItemInvoiceTracker!C:C,ItemInvoiceTracker!E:E,Data!A279)</f>
        <v>0</v>
      </c>
    </row>
    <row r="280" spans="1:2" x14ac:dyDescent="0.3">
      <c r="A280" s="38" t="str">
        <f>Lookup!A280</f>
        <v>D203</v>
      </c>
      <c r="B280" s="39">
        <f>SUMIFS(ItemInvoiceTracker!C:C,ItemInvoiceTracker!E:E,Data!A280)</f>
        <v>0</v>
      </c>
    </row>
    <row r="281" spans="1:2" x14ac:dyDescent="0.3">
      <c r="A281" s="38" t="str">
        <f>Lookup!A281</f>
        <v>D204</v>
      </c>
      <c r="B281" s="39">
        <f>SUMIFS(ItemInvoiceTracker!C:C,ItemInvoiceTracker!E:E,Data!A281)</f>
        <v>0</v>
      </c>
    </row>
    <row r="282" spans="1:2" x14ac:dyDescent="0.3">
      <c r="A282" s="38" t="str">
        <f>Lookup!A282</f>
        <v>D205</v>
      </c>
      <c r="B282" s="39">
        <f>SUMIFS(ItemInvoiceTracker!C:C,ItemInvoiceTracker!E:E,Data!A282)</f>
        <v>0</v>
      </c>
    </row>
    <row r="283" spans="1:2" x14ac:dyDescent="0.3">
      <c r="A283" s="38" t="str">
        <f>Lookup!A283</f>
        <v>D206</v>
      </c>
      <c r="B283" s="39">
        <f>SUMIFS(ItemInvoiceTracker!C:C,ItemInvoiceTracker!E:E,Data!A283)</f>
        <v>0</v>
      </c>
    </row>
    <row r="284" spans="1:2" x14ac:dyDescent="0.3">
      <c r="A284" s="38" t="str">
        <f>Lookup!A284</f>
        <v>D207</v>
      </c>
      <c r="B284" s="39">
        <f>SUMIFS(ItemInvoiceTracker!C:C,ItemInvoiceTracker!E:E,Data!A284)</f>
        <v>0</v>
      </c>
    </row>
    <row r="285" spans="1:2" x14ac:dyDescent="0.3">
      <c r="A285" s="38" t="str">
        <f>Lookup!A285</f>
        <v>D208</v>
      </c>
      <c r="B285" s="39">
        <f>SUMIFS(ItemInvoiceTracker!C:C,ItemInvoiceTracker!E:E,Data!A285)</f>
        <v>0</v>
      </c>
    </row>
    <row r="286" spans="1:2" x14ac:dyDescent="0.3">
      <c r="A286" s="38" t="str">
        <f>Lookup!A286</f>
        <v>D209</v>
      </c>
      <c r="B286" s="39">
        <f>SUMIFS(ItemInvoiceTracker!C:C,ItemInvoiceTracker!E:E,Data!A286)</f>
        <v>0</v>
      </c>
    </row>
    <row r="287" spans="1:2" x14ac:dyDescent="0.3">
      <c r="A287" s="38" t="str">
        <f>Lookup!A287</f>
        <v>D210</v>
      </c>
      <c r="B287" s="39">
        <f>SUMIFS(ItemInvoiceTracker!C:C,ItemInvoiceTracker!E:E,Data!A287)</f>
        <v>0</v>
      </c>
    </row>
    <row r="288" spans="1:2" x14ac:dyDescent="0.3">
      <c r="A288" s="38" t="str">
        <f>Lookup!A288</f>
        <v>D211</v>
      </c>
      <c r="B288" s="39">
        <f>SUMIFS(ItemInvoiceTracker!C:C,ItemInvoiceTracker!E:E,Data!A288)</f>
        <v>0</v>
      </c>
    </row>
    <row r="289" spans="1:2" x14ac:dyDescent="0.3">
      <c r="A289" s="38" t="str">
        <f>Lookup!A289</f>
        <v>D212</v>
      </c>
      <c r="B289" s="39">
        <f>SUMIFS(ItemInvoiceTracker!C:C,ItemInvoiceTracker!E:E,Data!A289)</f>
        <v>0</v>
      </c>
    </row>
    <row r="290" spans="1:2" x14ac:dyDescent="0.3">
      <c r="A290" s="38" t="str">
        <f>Lookup!A290</f>
        <v>D213</v>
      </c>
      <c r="B290" s="39">
        <f>SUMIFS(ItemInvoiceTracker!C:C,ItemInvoiceTracker!E:E,Data!A290)</f>
        <v>0</v>
      </c>
    </row>
    <row r="291" spans="1:2" x14ac:dyDescent="0.3">
      <c r="A291" s="38" t="str">
        <f>Lookup!A291</f>
        <v>D214</v>
      </c>
      <c r="B291" s="39">
        <f>SUMIFS(ItemInvoiceTracker!C:C,ItemInvoiceTracker!E:E,Data!A291)</f>
        <v>0</v>
      </c>
    </row>
    <row r="292" spans="1:2" x14ac:dyDescent="0.3">
      <c r="A292" s="38" t="str">
        <f>Lookup!A292</f>
        <v>D215</v>
      </c>
      <c r="B292" s="39">
        <f>SUMIFS(ItemInvoiceTracker!C:C,ItemInvoiceTracker!E:E,Data!A292)</f>
        <v>0</v>
      </c>
    </row>
    <row r="293" spans="1:2" x14ac:dyDescent="0.3">
      <c r="A293" s="38" t="str">
        <f>Lookup!A293</f>
        <v>D216</v>
      </c>
      <c r="B293" s="39">
        <f>SUMIFS(ItemInvoiceTracker!C:C,ItemInvoiceTracker!E:E,Data!A293)</f>
        <v>0</v>
      </c>
    </row>
    <row r="294" spans="1:2" x14ac:dyDescent="0.3">
      <c r="A294" s="38" t="str">
        <f>Lookup!A294</f>
        <v>D217</v>
      </c>
      <c r="B294" s="39">
        <f>SUMIFS(ItemInvoiceTracker!C:C,ItemInvoiceTracker!E:E,Data!A294)</f>
        <v>0</v>
      </c>
    </row>
    <row r="295" spans="1:2" x14ac:dyDescent="0.3">
      <c r="A295" s="38" t="str">
        <f>Lookup!A295</f>
        <v>D218</v>
      </c>
      <c r="B295" s="39">
        <f>SUMIFS(ItemInvoiceTracker!C:C,ItemInvoiceTracker!E:E,Data!A295)</f>
        <v>0</v>
      </c>
    </row>
    <row r="296" spans="1:2" x14ac:dyDescent="0.3">
      <c r="A296" s="38" t="str">
        <f>Lookup!A296</f>
        <v>D219</v>
      </c>
      <c r="B296" s="39">
        <f>SUMIFS(ItemInvoiceTracker!C:C,ItemInvoiceTracker!E:E,Data!A296)</f>
        <v>0</v>
      </c>
    </row>
    <row r="297" spans="1:2" x14ac:dyDescent="0.3">
      <c r="A297" s="38" t="str">
        <f>Lookup!A297</f>
        <v>D220</v>
      </c>
      <c r="B297" s="39">
        <f>SUMIFS(ItemInvoiceTracker!C:C,ItemInvoiceTracker!E:E,Data!A297)</f>
        <v>0</v>
      </c>
    </row>
    <row r="298" spans="1:2" x14ac:dyDescent="0.3">
      <c r="A298" s="38" t="str">
        <f>Lookup!A298</f>
        <v>D221</v>
      </c>
      <c r="B298" s="39">
        <f>SUMIFS(ItemInvoiceTracker!C:C,ItemInvoiceTracker!E:E,Data!A298)</f>
        <v>0</v>
      </c>
    </row>
    <row r="299" spans="1:2" x14ac:dyDescent="0.3">
      <c r="A299" s="38" t="str">
        <f>Lookup!A299</f>
        <v>D222</v>
      </c>
      <c r="B299" s="39">
        <f>SUMIFS(ItemInvoiceTracker!C:C,ItemInvoiceTracker!E:E,Data!A299)</f>
        <v>0</v>
      </c>
    </row>
    <row r="300" spans="1:2" x14ac:dyDescent="0.3">
      <c r="A300" s="38" t="str">
        <f>Lookup!A300</f>
        <v>D223</v>
      </c>
      <c r="B300" s="39">
        <f>SUMIFS(ItemInvoiceTracker!C:C,ItemInvoiceTracker!E:E,Data!A300)</f>
        <v>0</v>
      </c>
    </row>
    <row r="301" spans="1:2" x14ac:dyDescent="0.3">
      <c r="A301" s="38" t="str">
        <f>Lookup!A301</f>
        <v>D224</v>
      </c>
      <c r="B301" s="39">
        <f>SUMIFS(ItemInvoiceTracker!C:C,ItemInvoiceTracker!E:E,Data!A301)</f>
        <v>0</v>
      </c>
    </row>
    <row r="302" spans="1:2" x14ac:dyDescent="0.3">
      <c r="A302" s="38" t="str">
        <f>Lookup!A302</f>
        <v>D225</v>
      </c>
      <c r="B302" s="39">
        <f>SUMIFS(ItemInvoiceTracker!C:C,ItemInvoiceTracker!E:E,Data!A302)</f>
        <v>0</v>
      </c>
    </row>
    <row r="303" spans="1:2" x14ac:dyDescent="0.3">
      <c r="A303" s="38" t="str">
        <f>Lookup!A303</f>
        <v>D226</v>
      </c>
      <c r="B303" s="39">
        <f>SUMIFS(ItemInvoiceTracker!C:C,ItemInvoiceTracker!E:E,Data!A303)</f>
        <v>0</v>
      </c>
    </row>
    <row r="304" spans="1:2" x14ac:dyDescent="0.3">
      <c r="A304" s="38" t="str">
        <f>Lookup!A304</f>
        <v>D227</v>
      </c>
      <c r="B304" s="39">
        <f>SUMIFS(ItemInvoiceTracker!C:C,ItemInvoiceTracker!E:E,Data!A304)</f>
        <v>0</v>
      </c>
    </row>
    <row r="305" spans="1:2" x14ac:dyDescent="0.3">
      <c r="A305" s="38" t="str">
        <f>Lookup!A305</f>
        <v>D228</v>
      </c>
      <c r="B305" s="39">
        <f>SUMIFS(ItemInvoiceTracker!C:C,ItemInvoiceTracker!E:E,Data!A305)</f>
        <v>0</v>
      </c>
    </row>
    <row r="306" spans="1:2" x14ac:dyDescent="0.3">
      <c r="A306" s="38" t="str">
        <f>Lookup!A306</f>
        <v>D229</v>
      </c>
      <c r="B306" s="39">
        <f>SUMIFS(ItemInvoiceTracker!C:C,ItemInvoiceTracker!E:E,Data!A306)</f>
        <v>0</v>
      </c>
    </row>
    <row r="307" spans="1:2" x14ac:dyDescent="0.3">
      <c r="A307" s="38" t="str">
        <f>Lookup!A307</f>
        <v>D230</v>
      </c>
      <c r="B307" s="39">
        <f>SUMIFS(ItemInvoiceTracker!C:C,ItemInvoiceTracker!E:E,Data!A307)</f>
        <v>0</v>
      </c>
    </row>
    <row r="308" spans="1:2" x14ac:dyDescent="0.3">
      <c r="A308" s="38" t="str">
        <f>Lookup!A308</f>
        <v>D231</v>
      </c>
      <c r="B308" s="39">
        <f>SUMIFS(ItemInvoiceTracker!C:C,ItemInvoiceTracker!E:E,Data!A308)</f>
        <v>0</v>
      </c>
    </row>
    <row r="309" spans="1:2" x14ac:dyDescent="0.3">
      <c r="A309" s="38" t="str">
        <f>Lookup!A309</f>
        <v>D232</v>
      </c>
      <c r="B309" s="39">
        <f>SUMIFS(ItemInvoiceTracker!C:C,ItemInvoiceTracker!E:E,Data!A309)</f>
        <v>0</v>
      </c>
    </row>
    <row r="310" spans="1:2" x14ac:dyDescent="0.3">
      <c r="A310" s="38" t="str">
        <f>Lookup!A310</f>
        <v>D233</v>
      </c>
      <c r="B310" s="39">
        <f>SUMIFS(ItemInvoiceTracker!C:C,ItemInvoiceTracker!E:E,Data!A310)</f>
        <v>0</v>
      </c>
    </row>
    <row r="311" spans="1:2" x14ac:dyDescent="0.3">
      <c r="A311" s="38" t="str">
        <f>Lookup!A311</f>
        <v>D234</v>
      </c>
      <c r="B311" s="39">
        <f>SUMIFS(ItemInvoiceTracker!C:C,ItemInvoiceTracker!E:E,Data!A311)</f>
        <v>0</v>
      </c>
    </row>
    <row r="312" spans="1:2" x14ac:dyDescent="0.3">
      <c r="A312" s="38" t="str">
        <f>Lookup!A312</f>
        <v>D235</v>
      </c>
      <c r="B312" s="39">
        <f>SUMIFS(ItemInvoiceTracker!C:C,ItemInvoiceTracker!E:E,Data!A312)</f>
        <v>0</v>
      </c>
    </row>
    <row r="313" spans="1:2" x14ac:dyDescent="0.3">
      <c r="A313" s="38" t="str">
        <f>Lookup!A313</f>
        <v>D236</v>
      </c>
      <c r="B313" s="39">
        <f>SUMIFS(ItemInvoiceTracker!C:C,ItemInvoiceTracker!E:E,Data!A313)</f>
        <v>0</v>
      </c>
    </row>
    <row r="314" spans="1:2" x14ac:dyDescent="0.3">
      <c r="A314" s="38" t="str">
        <f>Lookup!A314</f>
        <v>D237</v>
      </c>
      <c r="B314" s="39">
        <f>SUMIFS(ItemInvoiceTracker!C:C,ItemInvoiceTracker!E:E,Data!A314)</f>
        <v>0</v>
      </c>
    </row>
    <row r="315" spans="1:2" x14ac:dyDescent="0.3">
      <c r="A315" s="38" t="str">
        <f>Lookup!A315</f>
        <v>D238</v>
      </c>
      <c r="B315" s="39">
        <f>SUMIFS(ItemInvoiceTracker!C:C,ItemInvoiceTracker!E:E,Data!A315)</f>
        <v>0</v>
      </c>
    </row>
    <row r="316" spans="1:2" x14ac:dyDescent="0.3">
      <c r="A316" s="38" t="str">
        <f>Lookup!A316</f>
        <v>D239</v>
      </c>
      <c r="B316" s="39">
        <f>SUMIFS(ItemInvoiceTracker!C:C,ItemInvoiceTracker!E:E,Data!A316)</f>
        <v>0</v>
      </c>
    </row>
    <row r="317" spans="1:2" x14ac:dyDescent="0.3">
      <c r="A317" s="38" t="str">
        <f>Lookup!A317</f>
        <v>D240</v>
      </c>
      <c r="B317" s="39">
        <f>SUMIFS(ItemInvoiceTracker!C:C,ItemInvoiceTracker!E:E,Data!A317)</f>
        <v>0</v>
      </c>
    </row>
    <row r="318" spans="1:2" x14ac:dyDescent="0.3">
      <c r="A318" s="38" t="str">
        <f>Lookup!A318</f>
        <v>D241</v>
      </c>
      <c r="B318" s="39">
        <f>SUMIFS(ItemInvoiceTracker!C:C,ItemInvoiceTracker!E:E,Data!A318)</f>
        <v>0</v>
      </c>
    </row>
    <row r="319" spans="1:2" x14ac:dyDescent="0.3">
      <c r="A319" s="38" t="str">
        <f>Lookup!A319</f>
        <v>D242</v>
      </c>
      <c r="B319" s="39">
        <f>SUMIFS(ItemInvoiceTracker!C:C,ItemInvoiceTracker!E:E,Data!A319)</f>
        <v>0</v>
      </c>
    </row>
    <row r="320" spans="1:2" x14ac:dyDescent="0.3">
      <c r="A320" s="38" t="str">
        <f>Lookup!A320</f>
        <v>D243</v>
      </c>
      <c r="B320" s="39">
        <f>SUMIFS(ItemInvoiceTracker!C:C,ItemInvoiceTracker!E:E,Data!A320)</f>
        <v>0</v>
      </c>
    </row>
    <row r="321" spans="1:2" x14ac:dyDescent="0.3">
      <c r="A321" s="38" t="str">
        <f>Lookup!A321</f>
        <v>D244</v>
      </c>
      <c r="B321" s="39">
        <f>SUMIFS(ItemInvoiceTracker!C:C,ItemInvoiceTracker!E:E,Data!A321)</f>
        <v>0</v>
      </c>
    </row>
    <row r="322" spans="1:2" x14ac:dyDescent="0.3">
      <c r="A322" s="38" t="str">
        <f>Lookup!A322</f>
        <v>D245</v>
      </c>
      <c r="B322" s="39">
        <f>SUMIFS(ItemInvoiceTracker!C:C,ItemInvoiceTracker!E:E,Data!A322)</f>
        <v>0</v>
      </c>
    </row>
    <row r="323" spans="1:2" x14ac:dyDescent="0.3">
      <c r="A323" s="38" t="str">
        <f>Lookup!A323</f>
        <v>D246</v>
      </c>
      <c r="B323" s="39">
        <f>SUMIFS(ItemInvoiceTracker!C:C,ItemInvoiceTracker!E:E,Data!A323)</f>
        <v>0</v>
      </c>
    </row>
    <row r="324" spans="1:2" x14ac:dyDescent="0.3">
      <c r="A324" s="38" t="str">
        <f>Lookup!A324</f>
        <v>D247</v>
      </c>
      <c r="B324" s="39">
        <f>SUMIFS(ItemInvoiceTracker!C:C,ItemInvoiceTracker!E:E,Data!A324)</f>
        <v>0</v>
      </c>
    </row>
    <row r="325" spans="1:2" x14ac:dyDescent="0.3">
      <c r="A325" s="38" t="str">
        <f>Lookup!A325</f>
        <v>D248</v>
      </c>
      <c r="B325" s="39">
        <f>SUMIFS(ItemInvoiceTracker!C:C,ItemInvoiceTracker!E:E,Data!A325)</f>
        <v>0</v>
      </c>
    </row>
    <row r="326" spans="1:2" x14ac:dyDescent="0.3">
      <c r="A326" s="38" t="str">
        <f>Lookup!A326</f>
        <v>D249</v>
      </c>
      <c r="B326" s="39">
        <f>SUMIFS(ItemInvoiceTracker!C:C,ItemInvoiceTracker!E:E,Data!A326)</f>
        <v>0</v>
      </c>
    </row>
    <row r="327" spans="1:2" x14ac:dyDescent="0.3">
      <c r="A327" s="38" t="str">
        <f>Lookup!A327</f>
        <v>D250</v>
      </c>
      <c r="B327" s="39">
        <f>SUMIFS(ItemInvoiceTracker!C:C,ItemInvoiceTracker!E:E,Data!A327)</f>
        <v>0</v>
      </c>
    </row>
    <row r="328" spans="1:2" x14ac:dyDescent="0.3">
      <c r="A328" s="38" t="str">
        <f>Lookup!A328</f>
        <v>D251</v>
      </c>
      <c r="B328" s="39">
        <f>SUMIFS(ItemInvoiceTracker!C:C,ItemInvoiceTracker!E:E,Data!A328)</f>
        <v>0</v>
      </c>
    </row>
    <row r="329" spans="1:2" x14ac:dyDescent="0.3">
      <c r="A329" s="38" t="str">
        <f>Lookup!A329</f>
        <v>D252</v>
      </c>
      <c r="B329" s="39">
        <f>SUMIFS(ItemInvoiceTracker!C:C,ItemInvoiceTracker!E:E,Data!A329)</f>
        <v>0</v>
      </c>
    </row>
    <row r="330" spans="1:2" x14ac:dyDescent="0.3">
      <c r="A330" s="38" t="str">
        <f>Lookup!A330</f>
        <v>D253</v>
      </c>
      <c r="B330" s="39">
        <f>SUMIFS(ItemInvoiceTracker!C:C,ItemInvoiceTracker!E:E,Data!A330)</f>
        <v>0</v>
      </c>
    </row>
    <row r="331" spans="1:2" x14ac:dyDescent="0.3">
      <c r="A331" s="38" t="str">
        <f>Lookup!A331</f>
        <v>D254</v>
      </c>
      <c r="B331" s="39">
        <f>SUMIFS(ItemInvoiceTracker!C:C,ItemInvoiceTracker!E:E,Data!A331)</f>
        <v>0</v>
      </c>
    </row>
    <row r="332" spans="1:2" x14ac:dyDescent="0.3">
      <c r="A332" s="38" t="str">
        <f>Lookup!A332</f>
        <v>D255</v>
      </c>
      <c r="B332" s="39">
        <f>SUMIFS(ItemInvoiceTracker!C:C,ItemInvoiceTracker!E:E,Data!A332)</f>
        <v>0</v>
      </c>
    </row>
    <row r="333" spans="1:2" x14ac:dyDescent="0.3">
      <c r="A333" s="38" t="str">
        <f>Lookup!A333</f>
        <v>D256</v>
      </c>
      <c r="B333" s="39">
        <f>SUMIFS(ItemInvoiceTracker!C:C,ItemInvoiceTracker!E:E,Data!A333)</f>
        <v>0</v>
      </c>
    </row>
    <row r="334" spans="1:2" x14ac:dyDescent="0.3">
      <c r="A334" s="38" t="str">
        <f>Lookup!A334</f>
        <v>D257</v>
      </c>
      <c r="B334" s="39">
        <f>SUMIFS(ItemInvoiceTracker!C:C,ItemInvoiceTracker!E:E,Data!A334)</f>
        <v>0</v>
      </c>
    </row>
    <row r="335" spans="1:2" x14ac:dyDescent="0.3">
      <c r="A335" s="38" t="str">
        <f>Lookup!A335</f>
        <v>D258</v>
      </c>
      <c r="B335" s="39">
        <f>SUMIFS(ItemInvoiceTracker!C:C,ItemInvoiceTracker!E:E,Data!A335)</f>
        <v>0</v>
      </c>
    </row>
    <row r="336" spans="1:2" x14ac:dyDescent="0.3">
      <c r="A336" s="38" t="str">
        <f>Lookup!A336</f>
        <v>D259</v>
      </c>
      <c r="B336" s="39">
        <f>SUMIFS(ItemInvoiceTracker!C:C,ItemInvoiceTracker!E:E,Data!A336)</f>
        <v>0</v>
      </c>
    </row>
    <row r="337" spans="1:2" x14ac:dyDescent="0.3">
      <c r="A337" s="38" t="str">
        <f>Lookup!A337</f>
        <v>D260</v>
      </c>
      <c r="B337" s="39">
        <f>SUMIFS(ItemInvoiceTracker!C:C,ItemInvoiceTracker!E:E,Data!A337)</f>
        <v>0</v>
      </c>
    </row>
    <row r="338" spans="1:2" x14ac:dyDescent="0.3">
      <c r="A338" s="38" t="str">
        <f>Lookup!A338</f>
        <v>M1</v>
      </c>
      <c r="B338" s="39">
        <f>SUMIFS(ItemInvoiceTracker!C:C,ItemInvoiceTracker!E:E,Data!A338)</f>
        <v>0</v>
      </c>
    </row>
    <row r="339" spans="1:2" x14ac:dyDescent="0.3">
      <c r="A339" s="38" t="str">
        <f>Lookup!A339</f>
        <v>M2</v>
      </c>
      <c r="B339" s="39">
        <f>SUMIFS(ItemInvoiceTracker!C:C,ItemInvoiceTracker!E:E,Data!A339)</f>
        <v>0</v>
      </c>
    </row>
    <row r="340" spans="1:2" x14ac:dyDescent="0.3">
      <c r="A340" s="38" t="str">
        <f>Lookup!A340</f>
        <v>M3</v>
      </c>
      <c r="B340" s="39">
        <f>SUMIFS(ItemInvoiceTracker!C:C,ItemInvoiceTracker!E:E,Data!A340)</f>
        <v>0</v>
      </c>
    </row>
    <row r="341" spans="1:2" x14ac:dyDescent="0.3">
      <c r="A341" s="38" t="str">
        <f>Lookup!A341</f>
        <v>D261</v>
      </c>
      <c r="B341" s="39">
        <f>SUMIFS(ItemInvoiceTracker!C:C,ItemInvoiceTracker!E:E,Data!A341)</f>
        <v>0</v>
      </c>
    </row>
    <row r="342" spans="1:2" x14ac:dyDescent="0.3">
      <c r="A342" s="38" t="str">
        <f>Lookup!A342</f>
        <v>D262</v>
      </c>
      <c r="B342" s="39">
        <f>SUMIFS(ItemInvoiceTracker!C:C,ItemInvoiceTracker!E:E,Data!A342)</f>
        <v>0</v>
      </c>
    </row>
    <row r="343" spans="1:2" x14ac:dyDescent="0.3">
      <c r="A343" s="38" t="str">
        <f>Lookup!A343</f>
        <v>D263</v>
      </c>
      <c r="B343" s="39">
        <f>SUMIFS(ItemInvoiceTracker!C:C,ItemInvoiceTracker!E:E,Data!A343)</f>
        <v>0</v>
      </c>
    </row>
    <row r="344" spans="1:2" x14ac:dyDescent="0.3">
      <c r="A344" s="38" t="str">
        <f>Lookup!A344</f>
        <v>D264</v>
      </c>
      <c r="B344" s="39">
        <f>SUMIFS(ItemInvoiceTracker!C:C,ItemInvoiceTracker!E:E,Data!A344)</f>
        <v>0</v>
      </c>
    </row>
    <row r="345" spans="1:2" x14ac:dyDescent="0.3">
      <c r="A345" s="38" t="str">
        <f>Lookup!A345</f>
        <v>D265</v>
      </c>
      <c r="B345" s="39">
        <f>SUMIFS(ItemInvoiceTracker!C:C,ItemInvoiceTracker!E:E,Data!A345)</f>
        <v>0</v>
      </c>
    </row>
    <row r="346" spans="1:2" x14ac:dyDescent="0.3">
      <c r="A346" s="38" t="str">
        <f>Lookup!A346</f>
        <v>D266</v>
      </c>
      <c r="B346" s="39">
        <f>SUMIFS(ItemInvoiceTracker!C:C,ItemInvoiceTracker!E:E,Data!A346)</f>
        <v>0</v>
      </c>
    </row>
    <row r="347" spans="1:2" x14ac:dyDescent="0.3">
      <c r="A347" s="38" t="str">
        <f>Lookup!A347</f>
        <v>D267</v>
      </c>
      <c r="B347" s="39">
        <f>SUMIFS(ItemInvoiceTracker!C:C,ItemInvoiceTracker!E:E,Data!A347)</f>
        <v>0</v>
      </c>
    </row>
    <row r="348" spans="1:2" x14ac:dyDescent="0.3">
      <c r="A348" s="38" t="str">
        <f>Lookup!A348</f>
        <v>D268</v>
      </c>
      <c r="B348" s="39">
        <f>SUMIFS(ItemInvoiceTracker!C:C,ItemInvoiceTracker!E:E,Data!A348)</f>
        <v>0</v>
      </c>
    </row>
    <row r="349" spans="1:2" x14ac:dyDescent="0.3">
      <c r="A349" s="38" t="str">
        <f>Lookup!A349</f>
        <v>D269</v>
      </c>
      <c r="B349" s="39">
        <f>SUMIFS(ItemInvoiceTracker!C:C,ItemInvoiceTracker!E:E,Data!A349)</f>
        <v>0</v>
      </c>
    </row>
    <row r="350" spans="1:2" x14ac:dyDescent="0.3">
      <c r="A350" s="38" t="str">
        <f>Lookup!A350</f>
        <v>D270</v>
      </c>
      <c r="B350" s="39">
        <f>SUMIFS(ItemInvoiceTracker!C:C,ItemInvoiceTracker!E:E,Data!A350)</f>
        <v>0</v>
      </c>
    </row>
    <row r="351" spans="1:2" x14ac:dyDescent="0.3">
      <c r="A351" s="38" t="str">
        <f>Lookup!A351</f>
        <v>D271</v>
      </c>
      <c r="B351" s="39">
        <f>SUMIFS(ItemInvoiceTracker!C:C,ItemInvoiceTracker!E:E,Data!A351)</f>
        <v>0</v>
      </c>
    </row>
    <row r="352" spans="1:2" x14ac:dyDescent="0.3">
      <c r="A352" s="38" t="str">
        <f>Lookup!A352</f>
        <v>D272</v>
      </c>
      <c r="B352" s="39">
        <f>SUMIFS(ItemInvoiceTracker!C:C,ItemInvoiceTracker!E:E,Data!A352)</f>
        <v>0</v>
      </c>
    </row>
    <row r="353" spans="1:2" x14ac:dyDescent="0.3">
      <c r="A353" s="38" t="str">
        <f>Lookup!A353</f>
        <v>D273</v>
      </c>
      <c r="B353" s="39">
        <f>SUMIFS(ItemInvoiceTracker!C:C,ItemInvoiceTracker!E:E,Data!A353)</f>
        <v>0</v>
      </c>
    </row>
    <row r="354" spans="1:2" x14ac:dyDescent="0.3">
      <c r="A354" s="38" t="str">
        <f>Lookup!A354</f>
        <v>D274</v>
      </c>
      <c r="B354" s="39">
        <f>SUMIFS(ItemInvoiceTracker!C:C,ItemInvoiceTracker!E:E,Data!A354)</f>
        <v>0</v>
      </c>
    </row>
    <row r="355" spans="1:2" x14ac:dyDescent="0.3">
      <c r="A355" s="38" t="str">
        <f>Lookup!A355</f>
        <v>D275</v>
      </c>
      <c r="B355" s="39">
        <f>SUMIFS(ItemInvoiceTracker!C:C,ItemInvoiceTracker!E:E,Data!A355)</f>
        <v>0</v>
      </c>
    </row>
    <row r="356" spans="1:2" x14ac:dyDescent="0.3">
      <c r="A356" s="38" t="str">
        <f>Lookup!A356</f>
        <v>D276</v>
      </c>
      <c r="B356" s="39">
        <f>SUMIFS(ItemInvoiceTracker!C:C,ItemInvoiceTracker!E:E,Data!A356)</f>
        <v>0</v>
      </c>
    </row>
    <row r="357" spans="1:2" x14ac:dyDescent="0.3">
      <c r="A357" s="38" t="str">
        <f>Lookup!A357</f>
        <v>D277</v>
      </c>
      <c r="B357" s="39">
        <f>SUMIFS(ItemInvoiceTracker!C:C,ItemInvoiceTracker!E:E,Data!A357)</f>
        <v>0</v>
      </c>
    </row>
    <row r="358" spans="1:2" x14ac:dyDescent="0.3">
      <c r="A358" s="38" t="str">
        <f>Lookup!A358</f>
        <v>D278</v>
      </c>
      <c r="B358" s="39">
        <f>SUMIFS(ItemInvoiceTracker!C:C,ItemInvoiceTracker!E:E,Data!A358)</f>
        <v>0</v>
      </c>
    </row>
    <row r="359" spans="1:2" x14ac:dyDescent="0.3">
      <c r="A359" s="38" t="str">
        <f>Lookup!A359</f>
        <v>D279</v>
      </c>
      <c r="B359" s="39">
        <f>SUMIFS(ItemInvoiceTracker!C:C,ItemInvoiceTracker!E:E,Data!A359)</f>
        <v>0</v>
      </c>
    </row>
    <row r="360" spans="1:2" x14ac:dyDescent="0.3">
      <c r="A360" s="38" t="str">
        <f>Lookup!A360</f>
        <v>D280</v>
      </c>
      <c r="B360" s="39">
        <f>SUMIFS(ItemInvoiceTracker!C:C,ItemInvoiceTracker!E:E,Data!A360)</f>
        <v>0</v>
      </c>
    </row>
    <row r="361" spans="1:2" x14ac:dyDescent="0.3">
      <c r="A361" s="38" t="str">
        <f>Lookup!A361</f>
        <v>D281</v>
      </c>
      <c r="B361" s="39">
        <f>SUMIFS(ItemInvoiceTracker!C:C,ItemInvoiceTracker!E:E,Data!A361)</f>
        <v>0</v>
      </c>
    </row>
    <row r="362" spans="1:2" x14ac:dyDescent="0.3">
      <c r="A362" s="38" t="str">
        <f>Lookup!A362</f>
        <v>D282</v>
      </c>
      <c r="B362" s="39">
        <f>SUMIFS(ItemInvoiceTracker!C:C,ItemInvoiceTracker!E:E,Data!A362)</f>
        <v>0</v>
      </c>
    </row>
    <row r="363" spans="1:2" x14ac:dyDescent="0.3">
      <c r="A363" s="38" t="str">
        <f>Lookup!A363</f>
        <v>D283</v>
      </c>
      <c r="B363" s="39">
        <f>SUMIFS(ItemInvoiceTracker!C:C,ItemInvoiceTracker!E:E,Data!A363)</f>
        <v>0</v>
      </c>
    </row>
    <row r="364" spans="1:2" x14ac:dyDescent="0.3">
      <c r="A364" s="38" t="str">
        <f>Lookup!A364</f>
        <v>D284</v>
      </c>
      <c r="B364" s="39">
        <f>SUMIFS(ItemInvoiceTracker!C:C,ItemInvoiceTracker!E:E,Data!A364)</f>
        <v>0</v>
      </c>
    </row>
    <row r="365" spans="1:2" x14ac:dyDescent="0.3">
      <c r="A365" s="38" t="str">
        <f>Lookup!A365</f>
        <v>D285</v>
      </c>
      <c r="B365" s="39">
        <f>SUMIFS(ItemInvoiceTracker!C:C,ItemInvoiceTracker!E:E,Data!A365)</f>
        <v>0</v>
      </c>
    </row>
    <row r="366" spans="1:2" x14ac:dyDescent="0.3">
      <c r="A366" s="38" t="str">
        <f>Lookup!A366</f>
        <v>D286</v>
      </c>
      <c r="B366" s="39">
        <f>SUMIFS(ItemInvoiceTracker!C:C,ItemInvoiceTracker!E:E,Data!A366)</f>
        <v>0</v>
      </c>
    </row>
    <row r="367" spans="1:2" x14ac:dyDescent="0.3">
      <c r="A367" s="38" t="str">
        <f>Lookup!A367</f>
        <v>D287</v>
      </c>
      <c r="B367" s="39">
        <f>SUMIFS(ItemInvoiceTracker!C:C,ItemInvoiceTracker!E:E,Data!A367)</f>
        <v>0</v>
      </c>
    </row>
    <row r="368" spans="1:2" x14ac:dyDescent="0.3">
      <c r="A368" s="38" t="str">
        <f>Lookup!A368</f>
        <v>D288</v>
      </c>
      <c r="B368" s="39">
        <f>SUMIFS(ItemInvoiceTracker!C:C,ItemInvoiceTracker!E:E,Data!A368)</f>
        <v>0</v>
      </c>
    </row>
    <row r="369" spans="1:2" x14ac:dyDescent="0.3">
      <c r="A369" s="38" t="str">
        <f>Lookup!A369</f>
        <v>D289</v>
      </c>
      <c r="B369" s="39">
        <f>SUMIFS(ItemInvoiceTracker!C:C,ItemInvoiceTracker!E:E,Data!A369)</f>
        <v>0</v>
      </c>
    </row>
    <row r="370" spans="1:2" x14ac:dyDescent="0.3">
      <c r="A370" s="38" t="str">
        <f>Lookup!A370</f>
        <v>D290</v>
      </c>
      <c r="B370" s="39">
        <f>SUMIFS(ItemInvoiceTracker!C:C,ItemInvoiceTracker!E:E,Data!A370)</f>
        <v>0</v>
      </c>
    </row>
    <row r="371" spans="1:2" x14ac:dyDescent="0.3">
      <c r="A371" s="38" t="str">
        <f>Lookup!A371</f>
        <v>D291</v>
      </c>
      <c r="B371" s="39">
        <f>SUMIFS(ItemInvoiceTracker!C:C,ItemInvoiceTracker!E:E,Data!A371)</f>
        <v>0</v>
      </c>
    </row>
    <row r="372" spans="1:2" x14ac:dyDescent="0.3">
      <c r="A372" s="38" t="str">
        <f>Lookup!A372</f>
        <v>D292</v>
      </c>
      <c r="B372" s="39">
        <f>SUMIFS(ItemInvoiceTracker!C:C,ItemInvoiceTracker!E:E,Data!A372)</f>
        <v>0</v>
      </c>
    </row>
    <row r="373" spans="1:2" x14ac:dyDescent="0.3">
      <c r="A373" s="38" t="str">
        <f>Lookup!A373</f>
        <v>D293</v>
      </c>
      <c r="B373" s="39">
        <f>SUMIFS(ItemInvoiceTracker!C:C,ItemInvoiceTracker!E:E,Data!A373)</f>
        <v>0</v>
      </c>
    </row>
    <row r="374" spans="1:2" x14ac:dyDescent="0.3">
      <c r="A374" s="38" t="str">
        <f>Lookup!A374</f>
        <v>D294</v>
      </c>
      <c r="B374" s="39">
        <f>SUMIFS(ItemInvoiceTracker!C:C,ItemInvoiceTracker!E:E,Data!A374)</f>
        <v>0</v>
      </c>
    </row>
    <row r="375" spans="1:2" x14ac:dyDescent="0.3">
      <c r="A375" s="38" t="str">
        <f>Lookup!A375</f>
        <v>D295</v>
      </c>
      <c r="B375" s="39">
        <f>SUMIFS(ItemInvoiceTracker!C:C,ItemInvoiceTracker!E:E,Data!A375)</f>
        <v>0</v>
      </c>
    </row>
    <row r="376" spans="1:2" x14ac:dyDescent="0.3">
      <c r="A376" s="38" t="str">
        <f>Lookup!A376</f>
        <v>D296</v>
      </c>
      <c r="B376" s="39">
        <f>SUMIFS(ItemInvoiceTracker!C:C,ItemInvoiceTracker!E:E,Data!A376)</f>
        <v>0</v>
      </c>
    </row>
    <row r="377" spans="1:2" x14ac:dyDescent="0.3">
      <c r="A377" s="38" t="str">
        <f>Lookup!A377</f>
        <v>D297</v>
      </c>
      <c r="B377" s="39">
        <f>SUMIFS(ItemInvoiceTracker!C:C,ItemInvoiceTracker!E:E,Data!A377)</f>
        <v>0</v>
      </c>
    </row>
    <row r="378" spans="1:2" x14ac:dyDescent="0.3">
      <c r="A378" s="38" t="str">
        <f>Lookup!A378</f>
        <v>D298</v>
      </c>
      <c r="B378" s="39">
        <f>SUMIFS(ItemInvoiceTracker!C:C,ItemInvoiceTracker!E:E,Data!A378)</f>
        <v>0</v>
      </c>
    </row>
    <row r="379" spans="1:2" x14ac:dyDescent="0.3">
      <c r="A379" s="38" t="str">
        <f>Lookup!A379</f>
        <v>D299</v>
      </c>
      <c r="B379" s="39">
        <f>SUMIFS(ItemInvoiceTracker!C:C,ItemInvoiceTracker!E:E,Data!A379)</f>
        <v>0</v>
      </c>
    </row>
    <row r="380" spans="1:2" x14ac:dyDescent="0.3">
      <c r="A380" s="38" t="str">
        <f>Lookup!A380</f>
        <v>D300</v>
      </c>
      <c r="B380" s="39">
        <f>SUMIFS(ItemInvoiceTracker!C:C,ItemInvoiceTracker!E:E,Data!A380)</f>
        <v>0</v>
      </c>
    </row>
    <row r="381" spans="1:2" x14ac:dyDescent="0.3">
      <c r="A381" s="38" t="str">
        <f>Lookup!A381</f>
        <v>D301</v>
      </c>
      <c r="B381" s="39">
        <f>SUMIFS(ItemInvoiceTracker!C:C,ItemInvoiceTracker!E:E,Data!A381)</f>
        <v>0</v>
      </c>
    </row>
    <row r="382" spans="1:2" x14ac:dyDescent="0.3">
      <c r="A382" s="38" t="str">
        <f>Lookup!A382</f>
        <v>D302</v>
      </c>
      <c r="B382" s="39">
        <f>SUMIFS(ItemInvoiceTracker!C:C,ItemInvoiceTracker!E:E,Data!A382)</f>
        <v>0</v>
      </c>
    </row>
    <row r="383" spans="1:2" x14ac:dyDescent="0.3">
      <c r="A383" s="38" t="str">
        <f>Lookup!A383</f>
        <v>D303</v>
      </c>
      <c r="B383" s="39">
        <f>SUMIFS(ItemInvoiceTracker!C:C,ItemInvoiceTracker!E:E,Data!A383)</f>
        <v>0</v>
      </c>
    </row>
    <row r="384" spans="1:2" x14ac:dyDescent="0.3">
      <c r="A384" s="38" t="str">
        <f>Lookup!A384</f>
        <v>D304</v>
      </c>
      <c r="B384" s="39">
        <f>SUMIFS(ItemInvoiceTracker!C:C,ItemInvoiceTracker!E:E,Data!A384)</f>
        <v>0</v>
      </c>
    </row>
    <row r="385" spans="1:2" x14ac:dyDescent="0.3">
      <c r="A385" s="38" t="str">
        <f>Lookup!A385</f>
        <v>D305</v>
      </c>
      <c r="B385" s="39">
        <f>SUMIFS(ItemInvoiceTracker!C:C,ItemInvoiceTracker!E:E,Data!A385)</f>
        <v>0</v>
      </c>
    </row>
    <row r="386" spans="1:2" x14ac:dyDescent="0.3">
      <c r="A386" s="38" t="str">
        <f>Lookup!A386</f>
        <v>D306</v>
      </c>
      <c r="B386" s="39">
        <f>SUMIFS(ItemInvoiceTracker!C:C,ItemInvoiceTracker!E:E,Data!A386)</f>
        <v>0</v>
      </c>
    </row>
    <row r="387" spans="1:2" x14ac:dyDescent="0.3">
      <c r="A387" s="38" t="str">
        <f>Lookup!A387</f>
        <v>D307</v>
      </c>
      <c r="B387" s="39">
        <f>SUMIFS(ItemInvoiceTracker!C:C,ItemInvoiceTracker!E:E,Data!A387)</f>
        <v>0</v>
      </c>
    </row>
    <row r="388" spans="1:2" x14ac:dyDescent="0.3">
      <c r="A388" s="38" t="str">
        <f>Lookup!A388</f>
        <v>D308</v>
      </c>
      <c r="B388" s="39">
        <f>SUMIFS(ItemInvoiceTracker!C:C,ItemInvoiceTracker!E:E,Data!A388)</f>
        <v>0</v>
      </c>
    </row>
    <row r="389" spans="1:2" x14ac:dyDescent="0.3">
      <c r="A389" s="38" t="str">
        <f>Lookup!A389</f>
        <v>D309</v>
      </c>
      <c r="B389" s="39">
        <f>SUMIFS(ItemInvoiceTracker!C:C,ItemInvoiceTracker!E:E,Data!A389)</f>
        <v>0</v>
      </c>
    </row>
    <row r="390" spans="1:2" x14ac:dyDescent="0.3">
      <c r="A390" s="38" t="str">
        <f>Lookup!A390</f>
        <v>D310</v>
      </c>
      <c r="B390" s="39">
        <f>SUMIFS(ItemInvoiceTracker!C:C,ItemInvoiceTracker!E:E,Data!A390)</f>
        <v>0</v>
      </c>
    </row>
    <row r="391" spans="1:2" x14ac:dyDescent="0.3">
      <c r="A391" s="38" t="str">
        <f>Lookup!A391</f>
        <v>D311</v>
      </c>
      <c r="B391" s="39">
        <f>SUMIFS(ItemInvoiceTracker!C:C,ItemInvoiceTracker!E:E,Data!A391)</f>
        <v>0</v>
      </c>
    </row>
    <row r="392" spans="1:2" x14ac:dyDescent="0.3">
      <c r="A392" s="38" t="str">
        <f>Lookup!A392</f>
        <v>D312</v>
      </c>
      <c r="B392" s="39">
        <f>SUMIFS(ItemInvoiceTracker!C:C,ItemInvoiceTracker!E:E,Data!A392)</f>
        <v>0</v>
      </c>
    </row>
    <row r="393" spans="1:2" x14ac:dyDescent="0.3">
      <c r="A393" s="38" t="str">
        <f>Lookup!A393</f>
        <v>D313</v>
      </c>
      <c r="B393" s="39">
        <f>SUMIFS(ItemInvoiceTracker!C:C,ItemInvoiceTracker!E:E,Data!A393)</f>
        <v>0</v>
      </c>
    </row>
    <row r="394" spans="1:2" x14ac:dyDescent="0.3">
      <c r="A394" s="38" t="str">
        <f>Lookup!A394</f>
        <v>D314</v>
      </c>
      <c r="B394" s="39">
        <f>SUMIFS(ItemInvoiceTracker!C:C,ItemInvoiceTracker!E:E,Data!A394)</f>
        <v>0</v>
      </c>
    </row>
    <row r="395" spans="1:2" x14ac:dyDescent="0.3">
      <c r="A395" s="38" t="str">
        <f>Lookup!A395</f>
        <v>D315</v>
      </c>
      <c r="B395" s="39">
        <f>SUMIFS(ItemInvoiceTracker!C:C,ItemInvoiceTracker!E:E,Data!A395)</f>
        <v>0</v>
      </c>
    </row>
    <row r="396" spans="1:2" x14ac:dyDescent="0.3">
      <c r="A396" s="38" t="str">
        <f>Lookup!A396</f>
        <v>D316</v>
      </c>
      <c r="B396" s="39">
        <f>SUMIFS(ItemInvoiceTracker!C:C,ItemInvoiceTracker!E:E,Data!A396)</f>
        <v>0</v>
      </c>
    </row>
    <row r="397" spans="1:2" x14ac:dyDescent="0.3">
      <c r="A397" s="38" t="str">
        <f>Lookup!A397</f>
        <v>D317</v>
      </c>
      <c r="B397" s="39">
        <f>SUMIFS(ItemInvoiceTracker!C:C,ItemInvoiceTracker!E:E,Data!A397)</f>
        <v>0</v>
      </c>
    </row>
    <row r="398" spans="1:2" x14ac:dyDescent="0.3">
      <c r="A398" s="38" t="str">
        <f>Lookup!A398</f>
        <v>D318</v>
      </c>
      <c r="B398" s="39">
        <f>SUMIFS(ItemInvoiceTracker!C:C,ItemInvoiceTracker!E:E,Data!A398)</f>
        <v>0</v>
      </c>
    </row>
    <row r="399" spans="1:2" x14ac:dyDescent="0.3">
      <c r="A399" s="38" t="str">
        <f>Lookup!A399</f>
        <v>D319</v>
      </c>
      <c r="B399" s="39">
        <f>SUMIFS(ItemInvoiceTracker!C:C,ItemInvoiceTracker!E:E,Data!A399)</f>
        <v>0</v>
      </c>
    </row>
    <row r="400" spans="1:2" x14ac:dyDescent="0.3">
      <c r="A400" s="38" t="str">
        <f>Lookup!A400</f>
        <v>D320</v>
      </c>
      <c r="B400" s="39">
        <f>SUMIFS(ItemInvoiceTracker!C:C,ItemInvoiceTracker!E:E,Data!A400)</f>
        <v>0</v>
      </c>
    </row>
    <row r="401" spans="1:2" x14ac:dyDescent="0.3">
      <c r="A401" s="38" t="str">
        <f>Lookup!A401</f>
        <v>D321</v>
      </c>
      <c r="B401" s="39">
        <f>SUMIFS(ItemInvoiceTracker!C:C,ItemInvoiceTracker!E:E,Data!A401)</f>
        <v>0</v>
      </c>
    </row>
    <row r="402" spans="1:2" x14ac:dyDescent="0.3">
      <c r="A402" s="38" t="str">
        <f>Lookup!A402</f>
        <v>D322</v>
      </c>
      <c r="B402" s="39">
        <f>SUMIFS(ItemInvoiceTracker!C:C,ItemInvoiceTracker!E:E,Data!A402)</f>
        <v>0</v>
      </c>
    </row>
    <row r="403" spans="1:2" x14ac:dyDescent="0.3">
      <c r="A403" s="38" t="str">
        <f>Lookup!A403</f>
        <v>D323</v>
      </c>
      <c r="B403" s="39">
        <f>SUMIFS(ItemInvoiceTracker!C:C,ItemInvoiceTracker!E:E,Data!A403)</f>
        <v>0</v>
      </c>
    </row>
    <row r="404" spans="1:2" x14ac:dyDescent="0.3">
      <c r="A404" s="38" t="str">
        <f>Lookup!A404</f>
        <v>D324</v>
      </c>
      <c r="B404" s="39">
        <f>SUMIFS(ItemInvoiceTracker!C:C,ItemInvoiceTracker!E:E,Data!A404)</f>
        <v>0</v>
      </c>
    </row>
    <row r="405" spans="1:2" x14ac:dyDescent="0.3">
      <c r="A405" s="38" t="str">
        <f>Lookup!A405</f>
        <v>D325</v>
      </c>
      <c r="B405" s="39">
        <f>SUMIFS(ItemInvoiceTracker!C:C,ItemInvoiceTracker!E:E,Data!A405)</f>
        <v>0</v>
      </c>
    </row>
    <row r="406" spans="1:2" x14ac:dyDescent="0.3">
      <c r="A406" s="38" t="str">
        <f>Lookup!A406</f>
        <v>D326</v>
      </c>
      <c r="B406" s="39">
        <f>SUMIFS(ItemInvoiceTracker!C:C,ItemInvoiceTracker!E:E,Data!A406)</f>
        <v>0</v>
      </c>
    </row>
    <row r="407" spans="1:2" x14ac:dyDescent="0.3">
      <c r="A407" s="38" t="str">
        <f>Lookup!A407</f>
        <v>D327</v>
      </c>
      <c r="B407" s="39">
        <f>SUMIFS(ItemInvoiceTracker!C:C,ItemInvoiceTracker!E:E,Data!A407)</f>
        <v>0</v>
      </c>
    </row>
    <row r="408" spans="1:2" x14ac:dyDescent="0.3">
      <c r="A408" s="38" t="str">
        <f>Lookup!A408</f>
        <v>D328</v>
      </c>
      <c r="B408" s="39">
        <f>SUMIFS(ItemInvoiceTracker!C:C,ItemInvoiceTracker!E:E,Data!A408)</f>
        <v>0</v>
      </c>
    </row>
    <row r="409" spans="1:2" x14ac:dyDescent="0.3">
      <c r="A409" s="38" t="str">
        <f>Lookup!A409</f>
        <v>D329</v>
      </c>
      <c r="B409" s="39">
        <f>SUMIFS(ItemInvoiceTracker!C:C,ItemInvoiceTracker!E:E,Data!A409)</f>
        <v>0</v>
      </c>
    </row>
    <row r="410" spans="1:2" x14ac:dyDescent="0.3">
      <c r="A410" s="38" t="str">
        <f>Lookup!A410</f>
        <v>D330</v>
      </c>
      <c r="B410" s="39">
        <f>SUMIFS(ItemInvoiceTracker!C:C,ItemInvoiceTracker!E:E,Data!A410)</f>
        <v>0</v>
      </c>
    </row>
    <row r="411" spans="1:2" x14ac:dyDescent="0.3">
      <c r="A411" s="38" t="str">
        <f>Lookup!A411</f>
        <v>D331</v>
      </c>
      <c r="B411" s="39">
        <f>SUMIFS(ItemInvoiceTracker!C:C,ItemInvoiceTracker!E:E,Data!A411)</f>
        <v>0</v>
      </c>
    </row>
    <row r="412" spans="1:2" x14ac:dyDescent="0.3">
      <c r="A412" s="38" t="str">
        <f>Lookup!A412</f>
        <v>D332</v>
      </c>
      <c r="B412" s="39">
        <f>SUMIFS(ItemInvoiceTracker!C:C,ItemInvoiceTracker!E:E,Data!A412)</f>
        <v>0</v>
      </c>
    </row>
    <row r="413" spans="1:2" x14ac:dyDescent="0.3">
      <c r="A413" s="38" t="str">
        <f>Lookup!A413</f>
        <v>D333</v>
      </c>
      <c r="B413" s="39">
        <f>SUMIFS(ItemInvoiceTracker!C:C,ItemInvoiceTracker!E:E,Data!A413)</f>
        <v>0</v>
      </c>
    </row>
    <row r="414" spans="1:2" x14ac:dyDescent="0.3">
      <c r="A414" s="38" t="str">
        <f>Lookup!A414</f>
        <v>D334</v>
      </c>
      <c r="B414" s="39">
        <f>SUMIFS(ItemInvoiceTracker!C:C,ItemInvoiceTracker!E:E,Data!A414)</f>
        <v>0</v>
      </c>
    </row>
    <row r="415" spans="1:2" x14ac:dyDescent="0.3">
      <c r="A415" s="38" t="str">
        <f>Lookup!A415</f>
        <v>D335</v>
      </c>
      <c r="B415" s="39">
        <f>SUMIFS(ItemInvoiceTracker!C:C,ItemInvoiceTracker!E:E,Data!A415)</f>
        <v>0</v>
      </c>
    </row>
    <row r="416" spans="1:2" x14ac:dyDescent="0.3">
      <c r="A416" s="38" t="str">
        <f>Lookup!A416</f>
        <v>D336</v>
      </c>
      <c r="B416" s="39">
        <f>SUMIFS(ItemInvoiceTracker!C:C,ItemInvoiceTracker!E:E,Data!A416)</f>
        <v>0</v>
      </c>
    </row>
    <row r="417" spans="1:2" x14ac:dyDescent="0.3">
      <c r="A417" s="38" t="str">
        <f>Lookup!A417</f>
        <v>D337</v>
      </c>
      <c r="B417" s="39">
        <f>SUMIFS(ItemInvoiceTracker!C:C,ItemInvoiceTracker!E:E,Data!A417)</f>
        <v>0</v>
      </c>
    </row>
    <row r="418" spans="1:2" x14ac:dyDescent="0.3">
      <c r="A418" s="38" t="str">
        <f>Lookup!A418</f>
        <v>D338</v>
      </c>
      <c r="B418" s="39">
        <f>SUMIFS(ItemInvoiceTracker!C:C,ItemInvoiceTracker!E:E,Data!A418)</f>
        <v>0</v>
      </c>
    </row>
    <row r="419" spans="1:2" x14ac:dyDescent="0.3">
      <c r="A419" s="38" t="str">
        <f>Lookup!A419</f>
        <v>D339</v>
      </c>
      <c r="B419" s="39">
        <f>SUMIFS(ItemInvoiceTracker!C:C,ItemInvoiceTracker!E:E,Data!A419)</f>
        <v>0</v>
      </c>
    </row>
    <row r="420" spans="1:2" x14ac:dyDescent="0.3">
      <c r="A420" s="38" t="str">
        <f>Lookup!A420</f>
        <v>D340</v>
      </c>
      <c r="B420" s="39">
        <f>SUMIFS(ItemInvoiceTracker!C:C,ItemInvoiceTracker!E:E,Data!A420)</f>
        <v>0</v>
      </c>
    </row>
    <row r="421" spans="1:2" x14ac:dyDescent="0.3">
      <c r="A421" s="38" t="str">
        <f>Lookup!A421</f>
        <v>D341</v>
      </c>
      <c r="B421" s="39">
        <f>SUMIFS(ItemInvoiceTracker!C:C,ItemInvoiceTracker!E:E,Data!A421)</f>
        <v>0</v>
      </c>
    </row>
    <row r="422" spans="1:2" x14ac:dyDescent="0.3">
      <c r="A422" s="38" t="str">
        <f>Lookup!A422</f>
        <v>D342</v>
      </c>
      <c r="B422" s="39">
        <f>SUMIFS(ItemInvoiceTracker!C:C,ItemInvoiceTracker!E:E,Data!A422)</f>
        <v>0</v>
      </c>
    </row>
    <row r="423" spans="1:2" x14ac:dyDescent="0.3">
      <c r="A423" s="38" t="str">
        <f>Lookup!A423</f>
        <v>D343</v>
      </c>
      <c r="B423" s="39">
        <f>SUMIFS(ItemInvoiceTracker!C:C,ItemInvoiceTracker!E:E,Data!A423)</f>
        <v>0</v>
      </c>
    </row>
    <row r="424" spans="1:2" x14ac:dyDescent="0.3">
      <c r="A424" s="38" t="str">
        <f>Lookup!A424</f>
        <v>D344</v>
      </c>
      <c r="B424" s="39">
        <f>SUMIFS(ItemInvoiceTracker!C:C,ItemInvoiceTracker!E:E,Data!A424)</f>
        <v>0</v>
      </c>
    </row>
    <row r="425" spans="1:2" x14ac:dyDescent="0.3">
      <c r="A425" s="38" t="str">
        <f>Lookup!A425</f>
        <v>D345</v>
      </c>
      <c r="B425" s="39">
        <f>SUMIFS(ItemInvoiceTracker!C:C,ItemInvoiceTracker!E:E,Data!A425)</f>
        <v>0</v>
      </c>
    </row>
    <row r="426" spans="1:2" x14ac:dyDescent="0.3">
      <c r="A426" s="38" t="str">
        <f>Lookup!A426</f>
        <v>D346</v>
      </c>
      <c r="B426" s="39">
        <f>SUMIFS(ItemInvoiceTracker!C:C,ItemInvoiceTracker!E:E,Data!A426)</f>
        <v>0</v>
      </c>
    </row>
    <row r="427" spans="1:2" x14ac:dyDescent="0.3">
      <c r="A427" s="38" t="str">
        <f>Lookup!A427</f>
        <v>D347</v>
      </c>
      <c r="B427" s="39">
        <f>SUMIFS(ItemInvoiceTracker!C:C,ItemInvoiceTracker!E:E,Data!A427)</f>
        <v>0</v>
      </c>
    </row>
    <row r="428" spans="1:2" x14ac:dyDescent="0.3">
      <c r="A428" s="38" t="str">
        <f>Lookup!A428</f>
        <v>D348</v>
      </c>
      <c r="B428" s="39">
        <f>SUMIFS(ItemInvoiceTracker!C:C,ItemInvoiceTracker!E:E,Data!A428)</f>
        <v>0</v>
      </c>
    </row>
    <row r="429" spans="1:2" x14ac:dyDescent="0.3">
      <c r="A429" s="38" t="str">
        <f>Lookup!A429</f>
        <v>D349</v>
      </c>
      <c r="B429" s="39">
        <f>SUMIFS(ItemInvoiceTracker!C:C,ItemInvoiceTracker!E:E,Data!A429)</f>
        <v>0</v>
      </c>
    </row>
    <row r="430" spans="1:2" x14ac:dyDescent="0.3">
      <c r="A430" s="38" t="str">
        <f>Lookup!A430</f>
        <v>D350</v>
      </c>
      <c r="B430" s="39">
        <f>SUMIFS(ItemInvoiceTracker!C:C,ItemInvoiceTracker!E:E,Data!A430)</f>
        <v>0</v>
      </c>
    </row>
    <row r="431" spans="1:2" x14ac:dyDescent="0.3">
      <c r="A431" s="38" t="str">
        <f>Lookup!A431</f>
        <v>D351</v>
      </c>
      <c r="B431" s="39">
        <f>SUMIFS(ItemInvoiceTracker!C:C,ItemInvoiceTracker!E:E,Data!A431)</f>
        <v>0</v>
      </c>
    </row>
    <row r="432" spans="1:2" x14ac:dyDescent="0.3">
      <c r="A432" s="38" t="str">
        <f>Lookup!A432</f>
        <v>D352</v>
      </c>
      <c r="B432" s="39">
        <f>SUMIFS(ItemInvoiceTracker!C:C,ItemInvoiceTracker!E:E,Data!A432)</f>
        <v>0</v>
      </c>
    </row>
    <row r="433" spans="1:2" x14ac:dyDescent="0.3">
      <c r="A433" s="38" t="str">
        <f>Lookup!A433</f>
        <v>D353</v>
      </c>
      <c r="B433" s="39">
        <f>SUMIFS(ItemInvoiceTracker!C:C,ItemInvoiceTracker!E:E,Data!A433)</f>
        <v>0</v>
      </c>
    </row>
    <row r="434" spans="1:2" x14ac:dyDescent="0.3">
      <c r="A434" s="38" t="str">
        <f>Lookup!A434</f>
        <v>D354</v>
      </c>
      <c r="B434" s="39">
        <f>SUMIFS(ItemInvoiceTracker!C:C,ItemInvoiceTracker!E:E,Data!A434)</f>
        <v>0</v>
      </c>
    </row>
    <row r="435" spans="1:2" x14ac:dyDescent="0.3">
      <c r="A435" s="38" t="str">
        <f>Lookup!A435</f>
        <v>D355</v>
      </c>
      <c r="B435" s="39">
        <f>SUMIFS(ItemInvoiceTracker!C:C,ItemInvoiceTracker!E:E,Data!A435)</f>
        <v>0</v>
      </c>
    </row>
    <row r="436" spans="1:2" x14ac:dyDescent="0.3">
      <c r="A436" s="38" t="str">
        <f>Lookup!A436</f>
        <v>D356</v>
      </c>
      <c r="B436" s="39">
        <f>SUMIFS(ItemInvoiceTracker!C:C,ItemInvoiceTracker!E:E,Data!A436)</f>
        <v>0</v>
      </c>
    </row>
    <row r="437" spans="1:2" x14ac:dyDescent="0.3">
      <c r="A437" s="38" t="str">
        <f>Lookup!A437</f>
        <v>D357</v>
      </c>
      <c r="B437" s="39">
        <f>SUMIFS(ItemInvoiceTracker!C:C,ItemInvoiceTracker!E:E,Data!A437)</f>
        <v>0</v>
      </c>
    </row>
    <row r="438" spans="1:2" x14ac:dyDescent="0.3">
      <c r="A438" s="38" t="str">
        <f>Lookup!A438</f>
        <v>D358</v>
      </c>
      <c r="B438" s="39">
        <f>SUMIFS(ItemInvoiceTracker!C:C,ItemInvoiceTracker!E:E,Data!A438)</f>
        <v>0</v>
      </c>
    </row>
    <row r="439" spans="1:2" x14ac:dyDescent="0.3">
      <c r="A439" s="38" t="str">
        <f>Lookup!A439</f>
        <v>D359</v>
      </c>
      <c r="B439" s="39">
        <f>SUMIFS(ItemInvoiceTracker!C:C,ItemInvoiceTracker!E:E,Data!A439)</f>
        <v>0</v>
      </c>
    </row>
    <row r="440" spans="1:2" x14ac:dyDescent="0.3">
      <c r="A440" s="38" t="str">
        <f>Lookup!A440</f>
        <v>D360</v>
      </c>
      <c r="B440" s="39">
        <f>SUMIFS(ItemInvoiceTracker!C:C,ItemInvoiceTracker!E:E,Data!A440)</f>
        <v>0</v>
      </c>
    </row>
    <row r="441" spans="1:2" x14ac:dyDescent="0.3">
      <c r="A441" s="38" t="str">
        <f>Lookup!A441</f>
        <v>D361</v>
      </c>
      <c r="B441" s="39">
        <f>SUMIFS(ItemInvoiceTracker!C:C,ItemInvoiceTracker!E:E,Data!A441)</f>
        <v>0</v>
      </c>
    </row>
    <row r="442" spans="1:2" x14ac:dyDescent="0.3">
      <c r="A442" s="38" t="str">
        <f>Lookup!A442</f>
        <v>D362</v>
      </c>
      <c r="B442" s="39">
        <f>SUMIFS(ItemInvoiceTracker!C:C,ItemInvoiceTracker!E:E,Data!A442)</f>
        <v>0</v>
      </c>
    </row>
    <row r="443" spans="1:2" x14ac:dyDescent="0.3">
      <c r="A443" s="38" t="str">
        <f>Lookup!A443</f>
        <v>D363</v>
      </c>
      <c r="B443" s="39">
        <f>SUMIFS(ItemInvoiceTracker!C:C,ItemInvoiceTracker!E:E,Data!A443)</f>
        <v>0</v>
      </c>
    </row>
    <row r="444" spans="1:2" x14ac:dyDescent="0.3">
      <c r="A444" s="38" t="str">
        <f>Lookup!A444</f>
        <v>D364</v>
      </c>
      <c r="B444" s="39">
        <f>SUMIFS(ItemInvoiceTracker!C:C,ItemInvoiceTracker!E:E,Data!A444)</f>
        <v>0</v>
      </c>
    </row>
    <row r="445" spans="1:2" x14ac:dyDescent="0.3">
      <c r="A445" s="38" t="str">
        <f>Lookup!A445</f>
        <v>D365</v>
      </c>
      <c r="B445" s="39">
        <f>SUMIFS(ItemInvoiceTracker!C:C,ItemInvoiceTracker!E:E,Data!A445)</f>
        <v>0</v>
      </c>
    </row>
    <row r="446" spans="1:2" x14ac:dyDescent="0.3">
      <c r="A446" s="38" t="str">
        <f>Lookup!A446</f>
        <v>D366</v>
      </c>
      <c r="B446" s="39">
        <f>SUMIFS(ItemInvoiceTracker!C:C,ItemInvoiceTracker!E:E,Data!A446)</f>
        <v>0</v>
      </c>
    </row>
    <row r="447" spans="1:2" x14ac:dyDescent="0.3">
      <c r="A447" s="38" t="str">
        <f>Lookup!A447</f>
        <v>D367</v>
      </c>
      <c r="B447" s="39">
        <f>SUMIFS(ItemInvoiceTracker!C:C,ItemInvoiceTracker!E:E,Data!A447)</f>
        <v>0</v>
      </c>
    </row>
    <row r="448" spans="1:2" x14ac:dyDescent="0.3">
      <c r="A448" s="38" t="str">
        <f>Lookup!A448</f>
        <v>D368</v>
      </c>
      <c r="B448" s="39">
        <f>SUMIFS(ItemInvoiceTracker!C:C,ItemInvoiceTracker!E:E,Data!A448)</f>
        <v>0</v>
      </c>
    </row>
    <row r="449" spans="1:2" x14ac:dyDescent="0.3">
      <c r="A449" s="38" t="str">
        <f>Lookup!A449</f>
        <v>D369</v>
      </c>
      <c r="B449" s="39">
        <f>SUMIFS(ItemInvoiceTracker!C:C,ItemInvoiceTracker!E:E,Data!A449)</f>
        <v>0</v>
      </c>
    </row>
    <row r="450" spans="1:2" x14ac:dyDescent="0.3">
      <c r="A450" s="38" t="str">
        <f>Lookup!A450</f>
        <v>D370</v>
      </c>
      <c r="B450" s="39">
        <f>SUMIFS(ItemInvoiceTracker!C:C,ItemInvoiceTracker!E:E,Data!A450)</f>
        <v>0</v>
      </c>
    </row>
    <row r="451" spans="1:2" x14ac:dyDescent="0.3">
      <c r="A451" s="38" t="str">
        <f>Lookup!A451</f>
        <v>D371</v>
      </c>
      <c r="B451" s="39">
        <f>SUMIFS(ItemInvoiceTracker!C:C,ItemInvoiceTracker!E:E,Data!A451)</f>
        <v>0</v>
      </c>
    </row>
    <row r="452" spans="1:2" x14ac:dyDescent="0.3">
      <c r="A452" s="38" t="str">
        <f>Lookup!A452</f>
        <v>D372</v>
      </c>
      <c r="B452" s="39">
        <f>SUMIFS(ItemInvoiceTracker!C:C,ItemInvoiceTracker!E:E,Data!A452)</f>
        <v>0</v>
      </c>
    </row>
    <row r="453" spans="1:2" x14ac:dyDescent="0.3">
      <c r="A453" s="38" t="str">
        <f>Lookup!A453</f>
        <v>D373</v>
      </c>
      <c r="B453" s="39">
        <f>SUMIFS(ItemInvoiceTracker!C:C,ItemInvoiceTracker!E:E,Data!A453)</f>
        <v>0</v>
      </c>
    </row>
    <row r="454" spans="1:2" x14ac:dyDescent="0.3">
      <c r="A454" s="38" t="str">
        <f>Lookup!A454</f>
        <v>D374</v>
      </c>
      <c r="B454" s="39">
        <f>SUMIFS(ItemInvoiceTracker!C:C,ItemInvoiceTracker!E:E,Data!A454)</f>
        <v>0</v>
      </c>
    </row>
    <row r="455" spans="1:2" x14ac:dyDescent="0.3">
      <c r="A455" s="38" t="str">
        <f>Lookup!A455</f>
        <v>D375</v>
      </c>
      <c r="B455" s="39">
        <f>SUMIFS(ItemInvoiceTracker!C:C,ItemInvoiceTracker!E:E,Data!A455)</f>
        <v>0</v>
      </c>
    </row>
    <row r="456" spans="1:2" x14ac:dyDescent="0.3">
      <c r="A456" s="38" t="str">
        <f>Lookup!A456</f>
        <v>D376</v>
      </c>
      <c r="B456" s="39">
        <f>SUMIFS(ItemInvoiceTracker!C:C,ItemInvoiceTracker!E:E,Data!A456)</f>
        <v>0</v>
      </c>
    </row>
    <row r="457" spans="1:2" x14ac:dyDescent="0.3">
      <c r="A457" s="38" t="str">
        <f>Lookup!A457</f>
        <v>D377</v>
      </c>
      <c r="B457" s="39">
        <f>SUMIFS(ItemInvoiceTracker!C:C,ItemInvoiceTracker!E:E,Data!A457)</f>
        <v>0</v>
      </c>
    </row>
    <row r="458" spans="1:2" x14ac:dyDescent="0.3">
      <c r="A458" s="38" t="str">
        <f>Lookup!A458</f>
        <v>D378</v>
      </c>
      <c r="B458" s="39">
        <f>SUMIFS(ItemInvoiceTracker!C:C,ItemInvoiceTracker!E:E,Data!A458)</f>
        <v>0</v>
      </c>
    </row>
    <row r="459" spans="1:2" x14ac:dyDescent="0.3">
      <c r="A459" s="38" t="str">
        <f>Lookup!A459</f>
        <v>D379</v>
      </c>
      <c r="B459" s="39">
        <f>SUMIFS(ItemInvoiceTracker!C:C,ItemInvoiceTracker!E:E,Data!A459)</f>
        <v>0</v>
      </c>
    </row>
    <row r="460" spans="1:2" x14ac:dyDescent="0.3">
      <c r="A460" s="38" t="str">
        <f>Lookup!A460</f>
        <v>D380</v>
      </c>
      <c r="B460" s="39">
        <f>SUMIFS(ItemInvoiceTracker!C:C,ItemInvoiceTracker!E:E,Data!A460)</f>
        <v>0</v>
      </c>
    </row>
    <row r="461" spans="1:2" x14ac:dyDescent="0.3">
      <c r="A461" s="38" t="str">
        <f>Lookup!A461</f>
        <v>D381</v>
      </c>
      <c r="B461" s="39">
        <f>SUMIFS(ItemInvoiceTracker!C:C,ItemInvoiceTracker!E:E,Data!A461)</f>
        <v>0</v>
      </c>
    </row>
    <row r="462" spans="1:2" x14ac:dyDescent="0.3">
      <c r="A462" s="38" t="str">
        <f>Lookup!A462</f>
        <v>D382</v>
      </c>
      <c r="B462" s="39">
        <f>SUMIFS(ItemInvoiceTracker!C:C,ItemInvoiceTracker!E:E,Data!A462)</f>
        <v>0</v>
      </c>
    </row>
    <row r="463" spans="1:2" x14ac:dyDescent="0.3">
      <c r="A463" s="38" t="str">
        <f>Lookup!A463</f>
        <v>D383</v>
      </c>
      <c r="B463" s="39">
        <f>SUMIFS(ItemInvoiceTracker!C:C,ItemInvoiceTracker!E:E,Data!A463)</f>
        <v>0</v>
      </c>
    </row>
    <row r="464" spans="1:2" x14ac:dyDescent="0.3">
      <c r="A464" s="38" t="str">
        <f>Lookup!A464</f>
        <v>D384</v>
      </c>
      <c r="B464" s="39">
        <f>SUMIFS(ItemInvoiceTracker!C:C,ItemInvoiceTracker!E:E,Data!A464)</f>
        <v>0</v>
      </c>
    </row>
    <row r="465" spans="1:2" x14ac:dyDescent="0.3">
      <c r="A465" s="38" t="str">
        <f>Lookup!A465</f>
        <v>D385</v>
      </c>
      <c r="B465" s="39">
        <f>SUMIFS(ItemInvoiceTracker!C:C,ItemInvoiceTracker!E:E,Data!A465)</f>
        <v>0</v>
      </c>
    </row>
    <row r="466" spans="1:2" x14ac:dyDescent="0.3">
      <c r="A466" s="38" t="str">
        <f>Lookup!A466</f>
        <v>D386</v>
      </c>
      <c r="B466" s="39">
        <f>SUMIFS(ItemInvoiceTracker!C:C,ItemInvoiceTracker!E:E,Data!A466)</f>
        <v>0</v>
      </c>
    </row>
    <row r="467" spans="1:2" x14ac:dyDescent="0.3">
      <c r="A467" s="38" t="str">
        <f>Lookup!A467</f>
        <v>D387</v>
      </c>
      <c r="B467" s="39">
        <f>SUMIFS(ItemInvoiceTracker!C:C,ItemInvoiceTracker!E:E,Data!A467)</f>
        <v>0</v>
      </c>
    </row>
    <row r="468" spans="1:2" x14ac:dyDescent="0.3">
      <c r="A468" s="38" t="str">
        <f>Lookup!A468</f>
        <v>D388</v>
      </c>
      <c r="B468" s="39">
        <f>SUMIFS(ItemInvoiceTracker!C:C,ItemInvoiceTracker!E:E,Data!A468)</f>
        <v>0</v>
      </c>
    </row>
    <row r="469" spans="1:2" x14ac:dyDescent="0.3">
      <c r="A469" s="38" t="str">
        <f>Lookup!A469</f>
        <v>D389</v>
      </c>
      <c r="B469" s="39">
        <f>SUMIFS(ItemInvoiceTracker!C:C,ItemInvoiceTracker!E:E,Data!A469)</f>
        <v>0</v>
      </c>
    </row>
    <row r="470" spans="1:2" x14ac:dyDescent="0.3">
      <c r="A470" s="38" t="str">
        <f>Lookup!A470</f>
        <v>D390</v>
      </c>
      <c r="B470" s="39">
        <f>SUMIFS(ItemInvoiceTracker!C:C,ItemInvoiceTracker!E:E,Data!A470)</f>
        <v>0</v>
      </c>
    </row>
    <row r="471" spans="1:2" x14ac:dyDescent="0.3">
      <c r="A471" s="38" t="str">
        <f>Lookup!A471</f>
        <v>D391</v>
      </c>
      <c r="B471" s="39">
        <f>SUMIFS(ItemInvoiceTracker!C:C,ItemInvoiceTracker!E:E,Data!A471)</f>
        <v>0</v>
      </c>
    </row>
    <row r="472" spans="1:2" x14ac:dyDescent="0.3">
      <c r="A472" s="38" t="str">
        <f>Lookup!A472</f>
        <v>D392</v>
      </c>
      <c r="B472" s="39">
        <f>SUMIFS(ItemInvoiceTracker!C:C,ItemInvoiceTracker!E:E,Data!A472)</f>
        <v>0</v>
      </c>
    </row>
    <row r="473" spans="1:2" x14ac:dyDescent="0.3">
      <c r="A473" s="38" t="str">
        <f>Lookup!A473</f>
        <v>D393</v>
      </c>
      <c r="B473" s="39">
        <f>SUMIFS(ItemInvoiceTracker!C:C,ItemInvoiceTracker!E:E,Data!A473)</f>
        <v>0</v>
      </c>
    </row>
    <row r="474" spans="1:2" x14ac:dyDescent="0.3">
      <c r="A474" s="38" t="str">
        <f>Lookup!A474</f>
        <v>D394</v>
      </c>
      <c r="B474" s="39">
        <f>SUMIFS(ItemInvoiceTracker!C:C,ItemInvoiceTracker!E:E,Data!A474)</f>
        <v>0</v>
      </c>
    </row>
    <row r="475" spans="1:2" x14ac:dyDescent="0.3">
      <c r="A475" s="38" t="str">
        <f>Lookup!A475</f>
        <v>D395</v>
      </c>
      <c r="B475" s="39">
        <f>SUMIFS(ItemInvoiceTracker!C:C,ItemInvoiceTracker!E:E,Data!A475)</f>
        <v>0</v>
      </c>
    </row>
    <row r="476" spans="1:2" x14ac:dyDescent="0.3">
      <c r="A476" s="38" t="str">
        <f>Lookup!A476</f>
        <v>D396</v>
      </c>
      <c r="B476" s="39">
        <f>SUMIFS(ItemInvoiceTracker!C:C,ItemInvoiceTracker!E:E,Data!A476)</f>
        <v>0</v>
      </c>
    </row>
    <row r="477" spans="1:2" x14ac:dyDescent="0.3">
      <c r="A477" s="38" t="str">
        <f>Lookup!A477</f>
        <v>D397</v>
      </c>
      <c r="B477" s="39">
        <f>SUMIFS(ItemInvoiceTracker!C:C,ItemInvoiceTracker!E:E,Data!A477)</f>
        <v>0</v>
      </c>
    </row>
    <row r="478" spans="1:2" x14ac:dyDescent="0.3">
      <c r="A478" s="38" t="str">
        <f>Lookup!A478</f>
        <v>D398</v>
      </c>
      <c r="B478" s="39">
        <f>SUMIFS(ItemInvoiceTracker!C:C,ItemInvoiceTracker!E:E,Data!A478)</f>
        <v>0</v>
      </c>
    </row>
    <row r="479" spans="1:2" x14ac:dyDescent="0.3">
      <c r="A479" s="38" t="str">
        <f>Lookup!A479</f>
        <v>D399</v>
      </c>
      <c r="B479" s="39">
        <f>SUMIFS(ItemInvoiceTracker!C:C,ItemInvoiceTracker!E:E,Data!A479)</f>
        <v>0</v>
      </c>
    </row>
    <row r="480" spans="1:2" x14ac:dyDescent="0.3">
      <c r="A480" s="38" t="str">
        <f>Lookup!A480</f>
        <v>D400</v>
      </c>
      <c r="B480" s="39">
        <f>SUMIFS(ItemInvoiceTracker!C:C,ItemInvoiceTracker!E:E,Data!A480)</f>
        <v>0</v>
      </c>
    </row>
    <row r="481" spans="1:2" x14ac:dyDescent="0.3">
      <c r="A481" s="38" t="str">
        <f>Lookup!A481</f>
        <v>D401</v>
      </c>
      <c r="B481" s="39">
        <f>SUMIFS(ItemInvoiceTracker!C:C,ItemInvoiceTracker!E:E,Data!A481)</f>
        <v>0</v>
      </c>
    </row>
    <row r="482" spans="1:2" x14ac:dyDescent="0.3">
      <c r="A482" s="38" t="str">
        <f>Lookup!A482</f>
        <v>D402</v>
      </c>
      <c r="B482" s="39">
        <f>SUMIFS(ItemInvoiceTracker!C:C,ItemInvoiceTracker!E:E,Data!A482)</f>
        <v>0</v>
      </c>
    </row>
    <row r="483" spans="1:2" x14ac:dyDescent="0.3">
      <c r="A483" s="38" t="str">
        <f>Lookup!A483</f>
        <v>D403</v>
      </c>
      <c r="B483" s="39">
        <f>SUMIFS(ItemInvoiceTracker!C:C,ItemInvoiceTracker!E:E,Data!A483)</f>
        <v>0</v>
      </c>
    </row>
    <row r="484" spans="1:2" x14ac:dyDescent="0.3">
      <c r="A484" s="38" t="str">
        <f>Lookup!A484</f>
        <v>D404</v>
      </c>
      <c r="B484" s="39">
        <f>SUMIFS(ItemInvoiceTracker!C:C,ItemInvoiceTracker!E:E,Data!A484)</f>
        <v>0</v>
      </c>
    </row>
    <row r="485" spans="1:2" x14ac:dyDescent="0.3">
      <c r="A485" s="38" t="str">
        <f>Lookup!A485</f>
        <v>D405</v>
      </c>
      <c r="B485" s="39">
        <f>SUMIFS(ItemInvoiceTracker!C:C,ItemInvoiceTracker!E:E,Data!A485)</f>
        <v>0</v>
      </c>
    </row>
    <row r="486" spans="1:2" x14ac:dyDescent="0.3">
      <c r="A486" s="38" t="str">
        <f>Lookup!A486</f>
        <v>D406</v>
      </c>
      <c r="B486" s="39">
        <f>SUMIFS(ItemInvoiceTracker!C:C,ItemInvoiceTracker!E:E,Data!A486)</f>
        <v>0</v>
      </c>
    </row>
    <row r="487" spans="1:2" x14ac:dyDescent="0.3">
      <c r="A487" s="38" t="str">
        <f>Lookup!A487</f>
        <v>D407</v>
      </c>
      <c r="B487" s="39">
        <f>SUMIFS(ItemInvoiceTracker!C:C,ItemInvoiceTracker!E:E,Data!A487)</f>
        <v>0</v>
      </c>
    </row>
    <row r="488" spans="1:2" x14ac:dyDescent="0.3">
      <c r="A488" s="38" t="str">
        <f>Lookup!A488</f>
        <v>D408</v>
      </c>
      <c r="B488" s="39">
        <f>SUMIFS(ItemInvoiceTracker!C:C,ItemInvoiceTracker!E:E,Data!A488)</f>
        <v>0</v>
      </c>
    </row>
    <row r="489" spans="1:2" x14ac:dyDescent="0.3">
      <c r="A489" s="38" t="str">
        <f>Lookup!A489</f>
        <v>D409</v>
      </c>
      <c r="B489" s="39">
        <f>SUMIFS(ItemInvoiceTracker!C:C,ItemInvoiceTracker!E:E,Data!A489)</f>
        <v>0</v>
      </c>
    </row>
    <row r="490" spans="1:2" x14ac:dyDescent="0.3">
      <c r="A490" s="38" t="str">
        <f>Lookup!A490</f>
        <v>D410</v>
      </c>
      <c r="B490" s="39">
        <f>SUMIFS(ItemInvoiceTracker!C:C,ItemInvoiceTracker!E:E,Data!A490)</f>
        <v>0</v>
      </c>
    </row>
    <row r="491" spans="1:2" x14ac:dyDescent="0.3">
      <c r="A491" s="38" t="str">
        <f>Lookup!A491</f>
        <v>D411</v>
      </c>
      <c r="B491" s="39">
        <f>SUMIFS(ItemInvoiceTracker!C:C,ItemInvoiceTracker!E:E,Data!A491)</f>
        <v>0</v>
      </c>
    </row>
    <row r="492" spans="1:2" x14ac:dyDescent="0.3">
      <c r="A492" s="38" t="str">
        <f>Lookup!A492</f>
        <v>D412</v>
      </c>
      <c r="B492" s="39">
        <f>SUMIFS(ItemInvoiceTracker!C:C,ItemInvoiceTracker!E:E,Data!A492)</f>
        <v>0</v>
      </c>
    </row>
    <row r="493" spans="1:2" x14ac:dyDescent="0.3">
      <c r="A493" s="38" t="str">
        <f>Lookup!A493</f>
        <v>D413</v>
      </c>
      <c r="B493" s="39">
        <f>SUMIFS(ItemInvoiceTracker!C:C,ItemInvoiceTracker!E:E,Data!A493)</f>
        <v>0</v>
      </c>
    </row>
    <row r="494" spans="1:2" x14ac:dyDescent="0.3">
      <c r="A494" s="38" t="str">
        <f>Lookup!A494</f>
        <v>D414</v>
      </c>
      <c r="B494" s="39">
        <f>SUMIFS(ItemInvoiceTracker!C:C,ItemInvoiceTracker!E:E,Data!A494)</f>
        <v>0</v>
      </c>
    </row>
    <row r="495" spans="1:2" x14ac:dyDescent="0.3">
      <c r="A495" s="38" t="str">
        <f>Lookup!A495</f>
        <v>D415</v>
      </c>
      <c r="B495" s="39">
        <f>SUMIFS(ItemInvoiceTracker!C:C,ItemInvoiceTracker!E:E,Data!A495)</f>
        <v>0</v>
      </c>
    </row>
    <row r="496" spans="1:2" x14ac:dyDescent="0.3">
      <c r="A496" s="38" t="str">
        <f>Lookup!A496</f>
        <v>D416</v>
      </c>
      <c r="B496" s="39">
        <f>SUMIFS(ItemInvoiceTracker!C:C,ItemInvoiceTracker!E:E,Data!A496)</f>
        <v>0</v>
      </c>
    </row>
    <row r="497" spans="1:2" x14ac:dyDescent="0.3">
      <c r="A497" s="38" t="str">
        <f>Lookup!A497</f>
        <v>D417</v>
      </c>
      <c r="B497" s="39">
        <f>SUMIFS(ItemInvoiceTracker!C:C,ItemInvoiceTracker!E:E,Data!A497)</f>
        <v>0</v>
      </c>
    </row>
    <row r="498" spans="1:2" x14ac:dyDescent="0.3">
      <c r="A498" s="38" t="str">
        <f>Lookup!A498</f>
        <v>D418</v>
      </c>
      <c r="B498" s="39">
        <f>SUMIFS(ItemInvoiceTracker!C:C,ItemInvoiceTracker!E:E,Data!A498)</f>
        <v>0</v>
      </c>
    </row>
    <row r="499" spans="1:2" x14ac:dyDescent="0.3">
      <c r="A499" s="38" t="str">
        <f>Lookup!A499</f>
        <v>D419</v>
      </c>
      <c r="B499" s="39">
        <f>SUMIFS(ItemInvoiceTracker!C:C,ItemInvoiceTracker!E:E,Data!A499)</f>
        <v>0</v>
      </c>
    </row>
    <row r="500" spans="1:2" x14ac:dyDescent="0.3">
      <c r="A500" s="38" t="str">
        <f>Lookup!A500</f>
        <v>D420</v>
      </c>
      <c r="B500" s="39">
        <f>SUMIFS(ItemInvoiceTracker!C:C,ItemInvoiceTracker!E:E,Data!A500)</f>
        <v>0</v>
      </c>
    </row>
    <row r="501" spans="1:2" x14ac:dyDescent="0.3">
      <c r="A501" s="38" t="str">
        <f>Lookup!A501</f>
        <v>D421</v>
      </c>
      <c r="B501" s="39">
        <f>SUMIFS(ItemInvoiceTracker!C:C,ItemInvoiceTracker!E:E,Data!A501)</f>
        <v>0</v>
      </c>
    </row>
    <row r="502" spans="1:2" x14ac:dyDescent="0.3">
      <c r="A502" s="38" t="str">
        <f>Lookup!A502</f>
        <v>D422</v>
      </c>
      <c r="B502" s="39">
        <f>SUMIFS(ItemInvoiceTracker!C:C,ItemInvoiceTracker!E:E,Data!A502)</f>
        <v>0</v>
      </c>
    </row>
    <row r="503" spans="1:2" x14ac:dyDescent="0.3">
      <c r="A503" s="38" t="str">
        <f>Lookup!A503</f>
        <v>D423</v>
      </c>
      <c r="B503" s="39">
        <f>SUMIFS(ItemInvoiceTracker!C:C,ItemInvoiceTracker!E:E,Data!A503)</f>
        <v>0</v>
      </c>
    </row>
    <row r="504" spans="1:2" x14ac:dyDescent="0.3">
      <c r="A504" s="38" t="str">
        <f>Lookup!A504</f>
        <v>D424</v>
      </c>
      <c r="B504" s="39">
        <f>SUMIFS(ItemInvoiceTracker!C:C,ItemInvoiceTracker!E:E,Data!A504)</f>
        <v>0</v>
      </c>
    </row>
    <row r="505" spans="1:2" x14ac:dyDescent="0.3">
      <c r="A505" s="38" t="str">
        <f>Lookup!A505</f>
        <v>D425</v>
      </c>
      <c r="B505" s="39">
        <f>SUMIFS(ItemInvoiceTracker!C:C,ItemInvoiceTracker!E:E,Data!A505)</f>
        <v>0</v>
      </c>
    </row>
    <row r="506" spans="1:2" x14ac:dyDescent="0.3">
      <c r="A506" s="38" t="str">
        <f>Lookup!A506</f>
        <v>D426</v>
      </c>
      <c r="B506" s="39">
        <f>SUMIFS(ItemInvoiceTracker!C:C,ItemInvoiceTracker!E:E,Data!A506)</f>
        <v>0</v>
      </c>
    </row>
    <row r="507" spans="1:2" x14ac:dyDescent="0.3">
      <c r="A507" s="38" t="str">
        <f>Lookup!A507</f>
        <v>D427</v>
      </c>
      <c r="B507" s="39">
        <f>SUMIFS(ItemInvoiceTracker!C:C,ItemInvoiceTracker!E:E,Data!A507)</f>
        <v>0</v>
      </c>
    </row>
    <row r="508" spans="1:2" x14ac:dyDescent="0.3">
      <c r="A508" s="38" t="str">
        <f>Lookup!A508</f>
        <v>D428</v>
      </c>
      <c r="B508" s="39">
        <f>SUMIFS(ItemInvoiceTracker!C:C,ItemInvoiceTracker!E:E,Data!A508)</f>
        <v>0</v>
      </c>
    </row>
    <row r="509" spans="1:2" x14ac:dyDescent="0.3">
      <c r="A509" s="38" t="str">
        <f>Lookup!A509</f>
        <v>D429</v>
      </c>
      <c r="B509" s="39">
        <f>SUMIFS(ItemInvoiceTracker!C:C,ItemInvoiceTracker!E:E,Data!A509)</f>
        <v>0</v>
      </c>
    </row>
    <row r="510" spans="1:2" x14ac:dyDescent="0.3">
      <c r="A510" s="38" t="str">
        <f>Lookup!A510</f>
        <v>D430</v>
      </c>
      <c r="B510" s="39">
        <f>SUMIFS(ItemInvoiceTracker!C:C,ItemInvoiceTracker!E:E,Data!A510)</f>
        <v>0</v>
      </c>
    </row>
    <row r="511" spans="1:2" x14ac:dyDescent="0.3">
      <c r="A511" s="38" t="str">
        <f>Lookup!A511</f>
        <v>D431</v>
      </c>
      <c r="B511" s="39">
        <f>SUMIFS(ItemInvoiceTracker!C:C,ItemInvoiceTracker!E:E,Data!A511)</f>
        <v>0</v>
      </c>
    </row>
    <row r="512" spans="1:2" x14ac:dyDescent="0.3">
      <c r="A512" s="38" t="str">
        <f>Lookup!A512</f>
        <v>D432</v>
      </c>
      <c r="B512" s="39">
        <f>SUMIFS(ItemInvoiceTracker!C:C,ItemInvoiceTracker!E:E,Data!A512)</f>
        <v>0</v>
      </c>
    </row>
    <row r="513" spans="1:2" x14ac:dyDescent="0.3">
      <c r="A513" s="38" t="str">
        <f>Lookup!A513</f>
        <v>D433</v>
      </c>
      <c r="B513" s="39">
        <f>SUMIFS(ItemInvoiceTracker!C:C,ItemInvoiceTracker!E:E,Data!A513)</f>
        <v>0</v>
      </c>
    </row>
    <row r="514" spans="1:2" x14ac:dyDescent="0.3">
      <c r="A514" s="38" t="str">
        <f>Lookup!A514</f>
        <v>D434</v>
      </c>
      <c r="B514" s="39">
        <f>SUMIFS(ItemInvoiceTracker!C:C,ItemInvoiceTracker!E:E,Data!A514)</f>
        <v>0</v>
      </c>
    </row>
    <row r="515" spans="1:2" x14ac:dyDescent="0.3">
      <c r="A515" s="38" t="str">
        <f>Lookup!A515</f>
        <v>D435</v>
      </c>
      <c r="B515" s="39">
        <f>SUMIFS(ItemInvoiceTracker!C:C,ItemInvoiceTracker!E:E,Data!A515)</f>
        <v>0</v>
      </c>
    </row>
    <row r="516" spans="1:2" x14ac:dyDescent="0.3">
      <c r="A516" s="38" t="str">
        <f>Lookup!A516</f>
        <v>D436</v>
      </c>
      <c r="B516" s="39">
        <f>SUMIFS(ItemInvoiceTracker!C:C,ItemInvoiceTracker!E:E,Data!A516)</f>
        <v>0</v>
      </c>
    </row>
    <row r="517" spans="1:2" x14ac:dyDescent="0.3">
      <c r="A517" s="38" t="str">
        <f>Lookup!A517</f>
        <v>D437</v>
      </c>
      <c r="B517" s="39">
        <f>SUMIFS(ItemInvoiceTracker!C:C,ItemInvoiceTracker!E:E,Data!A517)</f>
        <v>0</v>
      </c>
    </row>
    <row r="518" spans="1:2" x14ac:dyDescent="0.3">
      <c r="A518" s="38" t="str">
        <f>Lookup!A518</f>
        <v>D438</v>
      </c>
      <c r="B518" s="39">
        <f>SUMIFS(ItemInvoiceTracker!C:C,ItemInvoiceTracker!E:E,Data!A518)</f>
        <v>0</v>
      </c>
    </row>
    <row r="519" spans="1:2" x14ac:dyDescent="0.3">
      <c r="A519" s="38" t="str">
        <f>Lookup!A519</f>
        <v>D439</v>
      </c>
      <c r="B519" s="39">
        <f>SUMIFS(ItemInvoiceTracker!C:C,ItemInvoiceTracker!E:E,Data!A519)</f>
        <v>0</v>
      </c>
    </row>
    <row r="520" spans="1:2" x14ac:dyDescent="0.3">
      <c r="A520" s="38" t="str">
        <f>Lookup!A520</f>
        <v>D440</v>
      </c>
      <c r="B520" s="39">
        <f>SUMIFS(ItemInvoiceTracker!C:C,ItemInvoiceTracker!E:E,Data!A520)</f>
        <v>0</v>
      </c>
    </row>
    <row r="521" spans="1:2" x14ac:dyDescent="0.3">
      <c r="A521" s="38" t="str">
        <f>Lookup!A521</f>
        <v>D441</v>
      </c>
      <c r="B521" s="39">
        <f>SUMIFS(ItemInvoiceTracker!C:C,ItemInvoiceTracker!E:E,Data!A521)</f>
        <v>0</v>
      </c>
    </row>
    <row r="522" spans="1:2" x14ac:dyDescent="0.3">
      <c r="A522" s="38" t="str">
        <f>Lookup!A522</f>
        <v>D442</v>
      </c>
      <c r="B522" s="39">
        <f>SUMIFS(ItemInvoiceTracker!C:C,ItemInvoiceTracker!E:E,Data!A522)</f>
        <v>0</v>
      </c>
    </row>
    <row r="523" spans="1:2" x14ac:dyDescent="0.3">
      <c r="A523" s="38" t="str">
        <f>Lookup!A523</f>
        <v>D443</v>
      </c>
      <c r="B523" s="39">
        <f>SUMIFS(ItemInvoiceTracker!C:C,ItemInvoiceTracker!E:E,Data!A523)</f>
        <v>0</v>
      </c>
    </row>
    <row r="524" spans="1:2" x14ac:dyDescent="0.3">
      <c r="A524" s="38" t="str">
        <f>Lookup!A524</f>
        <v>D444</v>
      </c>
      <c r="B524" s="39">
        <f>SUMIFS(ItemInvoiceTracker!C:C,ItemInvoiceTracker!E:E,Data!A524)</f>
        <v>0</v>
      </c>
    </row>
    <row r="525" spans="1:2" x14ac:dyDescent="0.3">
      <c r="A525" s="38" t="str">
        <f>Lookup!A525</f>
        <v>D445</v>
      </c>
      <c r="B525" s="39">
        <f>SUMIFS(ItemInvoiceTracker!C:C,ItemInvoiceTracker!E:E,Data!A525)</f>
        <v>0</v>
      </c>
    </row>
    <row r="526" spans="1:2" x14ac:dyDescent="0.3">
      <c r="A526" s="38" t="str">
        <f>Lookup!A526</f>
        <v>D446</v>
      </c>
      <c r="B526" s="39">
        <f>SUMIFS(ItemInvoiceTracker!C:C,ItemInvoiceTracker!E:E,Data!A526)</f>
        <v>0</v>
      </c>
    </row>
    <row r="527" spans="1:2" x14ac:dyDescent="0.3">
      <c r="A527" s="38" t="str">
        <f>Lookup!A527</f>
        <v>D447</v>
      </c>
      <c r="B527" s="39">
        <f>SUMIFS(ItemInvoiceTracker!C:C,ItemInvoiceTracker!E:E,Data!A527)</f>
        <v>0</v>
      </c>
    </row>
    <row r="528" spans="1:2" x14ac:dyDescent="0.3">
      <c r="A528" s="38" t="str">
        <f>Lookup!A528</f>
        <v>D448</v>
      </c>
      <c r="B528" s="39">
        <f>SUMIFS(ItemInvoiceTracker!C:C,ItemInvoiceTracker!E:E,Data!A528)</f>
        <v>0</v>
      </c>
    </row>
    <row r="529" spans="1:2" x14ac:dyDescent="0.3">
      <c r="A529" s="38" t="str">
        <f>Lookup!A529</f>
        <v>D449</v>
      </c>
      <c r="B529" s="39">
        <f>SUMIFS(ItemInvoiceTracker!C:C,ItemInvoiceTracker!E:E,Data!A529)</f>
        <v>0</v>
      </c>
    </row>
    <row r="530" spans="1:2" x14ac:dyDescent="0.3">
      <c r="A530" s="38" t="str">
        <f>Lookup!A530</f>
        <v>D450</v>
      </c>
      <c r="B530" s="39">
        <f>SUMIFS(ItemInvoiceTracker!C:C,ItemInvoiceTracker!E:E,Data!A530)</f>
        <v>0</v>
      </c>
    </row>
    <row r="531" spans="1:2" x14ac:dyDescent="0.3">
      <c r="A531" s="38" t="str">
        <f>Lookup!A531</f>
        <v>D451</v>
      </c>
      <c r="B531" s="39">
        <f>SUMIFS(ItemInvoiceTracker!C:C,ItemInvoiceTracker!E:E,Data!A531)</f>
        <v>0</v>
      </c>
    </row>
    <row r="532" spans="1:2" x14ac:dyDescent="0.3">
      <c r="A532" s="38" t="str">
        <f>Lookup!A532</f>
        <v>D452</v>
      </c>
      <c r="B532" s="39">
        <f>SUMIFS(ItemInvoiceTracker!C:C,ItemInvoiceTracker!E:E,Data!A532)</f>
        <v>0</v>
      </c>
    </row>
    <row r="533" spans="1:2" x14ac:dyDescent="0.3">
      <c r="A533" s="38" t="str">
        <f>Lookup!A533</f>
        <v>D453</v>
      </c>
      <c r="B533" s="39">
        <f>SUMIFS(ItemInvoiceTracker!C:C,ItemInvoiceTracker!E:E,Data!A533)</f>
        <v>0</v>
      </c>
    </row>
    <row r="534" spans="1:2" x14ac:dyDescent="0.3">
      <c r="A534" s="38" t="str">
        <f>Lookup!A534</f>
        <v>D454</v>
      </c>
      <c r="B534" s="39">
        <f>SUMIFS(ItemInvoiceTracker!C:C,ItemInvoiceTracker!E:E,Data!A534)</f>
        <v>0</v>
      </c>
    </row>
    <row r="535" spans="1:2" x14ac:dyDescent="0.3">
      <c r="A535" s="38" t="str">
        <f>Lookup!A535</f>
        <v>D455</v>
      </c>
      <c r="B535" s="39">
        <f>SUMIFS(ItemInvoiceTracker!C:C,ItemInvoiceTracker!E:E,Data!A535)</f>
        <v>0</v>
      </c>
    </row>
    <row r="536" spans="1:2" x14ac:dyDescent="0.3">
      <c r="A536" s="38" t="str">
        <f>Lookup!A536</f>
        <v>D456</v>
      </c>
      <c r="B536" s="39">
        <f>SUMIFS(ItemInvoiceTracker!C:C,ItemInvoiceTracker!E:E,Data!A536)</f>
        <v>0</v>
      </c>
    </row>
    <row r="537" spans="1:2" x14ac:dyDescent="0.3">
      <c r="A537" s="38" t="str">
        <f>Lookup!A537</f>
        <v>D457</v>
      </c>
      <c r="B537" s="39">
        <f>SUMIFS(ItemInvoiceTracker!C:C,ItemInvoiceTracker!E:E,Data!A537)</f>
        <v>0</v>
      </c>
    </row>
    <row r="538" spans="1:2" x14ac:dyDescent="0.3">
      <c r="A538" s="38" t="str">
        <f>Lookup!A538</f>
        <v>D458</v>
      </c>
      <c r="B538" s="39">
        <f>SUMIFS(ItemInvoiceTracker!C:C,ItemInvoiceTracker!E:E,Data!A538)</f>
        <v>0</v>
      </c>
    </row>
    <row r="539" spans="1:2" x14ac:dyDescent="0.3">
      <c r="A539" s="38" t="str">
        <f>Lookup!A539</f>
        <v>D459</v>
      </c>
      <c r="B539" s="39">
        <f>SUMIFS(ItemInvoiceTracker!C:C,ItemInvoiceTracker!E:E,Data!A539)</f>
        <v>0</v>
      </c>
    </row>
    <row r="540" spans="1:2" x14ac:dyDescent="0.3">
      <c r="A540" s="38" t="str">
        <f>Lookup!A540</f>
        <v>D460</v>
      </c>
      <c r="B540" s="39">
        <f>SUMIFS(ItemInvoiceTracker!C:C,ItemInvoiceTracker!E:E,Data!A540)</f>
        <v>0</v>
      </c>
    </row>
    <row r="541" spans="1:2" x14ac:dyDescent="0.3">
      <c r="A541" s="38" t="str">
        <f>Lookup!A541</f>
        <v>D461</v>
      </c>
      <c r="B541" s="39">
        <f>SUMIFS(ItemInvoiceTracker!C:C,ItemInvoiceTracker!E:E,Data!A541)</f>
        <v>0</v>
      </c>
    </row>
    <row r="542" spans="1:2" x14ac:dyDescent="0.3">
      <c r="A542" s="38" t="str">
        <f>Lookup!A542</f>
        <v>D462</v>
      </c>
      <c r="B542" s="39">
        <f>SUMIFS(ItemInvoiceTracker!C:C,ItemInvoiceTracker!E:E,Data!A542)</f>
        <v>0</v>
      </c>
    </row>
    <row r="543" spans="1:2" x14ac:dyDescent="0.3">
      <c r="A543" s="38" t="str">
        <f>Lookup!A543</f>
        <v>D463</v>
      </c>
      <c r="B543" s="39">
        <f>SUMIFS(ItemInvoiceTracker!C:C,ItemInvoiceTracker!E:E,Data!A543)</f>
        <v>0</v>
      </c>
    </row>
    <row r="544" spans="1:2" x14ac:dyDescent="0.3">
      <c r="A544" s="38" t="str">
        <f>Lookup!A544</f>
        <v>D464</v>
      </c>
      <c r="B544" s="39">
        <f>SUMIFS(ItemInvoiceTracker!C:C,ItemInvoiceTracker!E:E,Data!A544)</f>
        <v>0</v>
      </c>
    </row>
    <row r="545" spans="1:2" x14ac:dyDescent="0.3">
      <c r="A545" s="38" t="str">
        <f>Lookup!A545</f>
        <v>D465</v>
      </c>
      <c r="B545" s="39">
        <f>SUMIFS(ItemInvoiceTracker!C:C,ItemInvoiceTracker!E:E,Data!A545)</f>
        <v>0</v>
      </c>
    </row>
    <row r="546" spans="1:2" x14ac:dyDescent="0.3">
      <c r="A546" s="38" t="str">
        <f>Lookup!A546</f>
        <v>D466</v>
      </c>
      <c r="B546" s="39">
        <f>SUMIFS(ItemInvoiceTracker!C:C,ItemInvoiceTracker!E:E,Data!A546)</f>
        <v>0</v>
      </c>
    </row>
    <row r="547" spans="1:2" x14ac:dyDescent="0.3">
      <c r="A547" s="38" t="str">
        <f>Lookup!A547</f>
        <v>D467</v>
      </c>
      <c r="B547" s="39">
        <f>SUMIFS(ItemInvoiceTracker!C:C,ItemInvoiceTracker!E:E,Data!A547)</f>
        <v>0</v>
      </c>
    </row>
    <row r="548" spans="1:2" x14ac:dyDescent="0.3">
      <c r="A548" s="38" t="str">
        <f>Lookup!A548</f>
        <v>D468</v>
      </c>
      <c r="B548" s="39">
        <f>SUMIFS(ItemInvoiceTracker!C:C,ItemInvoiceTracker!E:E,Data!A548)</f>
        <v>0</v>
      </c>
    </row>
    <row r="549" spans="1:2" x14ac:dyDescent="0.3">
      <c r="A549" s="38" t="str">
        <f>Lookup!A549</f>
        <v>D469</v>
      </c>
      <c r="B549" s="39">
        <f>SUMIFS(ItemInvoiceTracker!C:C,ItemInvoiceTracker!E:E,Data!A549)</f>
        <v>0</v>
      </c>
    </row>
    <row r="550" spans="1:2" x14ac:dyDescent="0.3">
      <c r="A550" s="38" t="str">
        <f>Lookup!A550</f>
        <v>D470</v>
      </c>
      <c r="B550" s="39">
        <f>SUMIFS(ItemInvoiceTracker!C:C,ItemInvoiceTracker!E:E,Data!A550)</f>
        <v>0</v>
      </c>
    </row>
    <row r="551" spans="1:2" x14ac:dyDescent="0.3">
      <c r="A551" s="38" t="str">
        <f>Lookup!A551</f>
        <v>D471</v>
      </c>
      <c r="B551" s="39">
        <f>SUMIFS(ItemInvoiceTracker!C:C,ItemInvoiceTracker!E:E,Data!A551)</f>
        <v>0</v>
      </c>
    </row>
    <row r="552" spans="1:2" x14ac:dyDescent="0.3">
      <c r="A552" s="38" t="str">
        <f>Lookup!A552</f>
        <v>D472</v>
      </c>
      <c r="B552" s="39">
        <f>SUMIFS(ItemInvoiceTracker!C:C,ItemInvoiceTracker!E:E,Data!A552)</f>
        <v>0</v>
      </c>
    </row>
    <row r="553" spans="1:2" x14ac:dyDescent="0.3">
      <c r="A553" s="38" t="str">
        <f>Lookup!A553</f>
        <v>D473</v>
      </c>
      <c r="B553" s="39">
        <f>SUMIFS(ItemInvoiceTracker!C:C,ItemInvoiceTracker!E:E,Data!A553)</f>
        <v>0</v>
      </c>
    </row>
    <row r="554" spans="1:2" x14ac:dyDescent="0.3">
      <c r="A554" s="38" t="str">
        <f>Lookup!A554</f>
        <v>D474</v>
      </c>
      <c r="B554" s="39">
        <f>SUMIFS(ItemInvoiceTracker!C:C,ItemInvoiceTracker!E:E,Data!A554)</f>
        <v>0</v>
      </c>
    </row>
    <row r="555" spans="1:2" x14ac:dyDescent="0.3">
      <c r="A555" s="38" t="str">
        <f>Lookup!A555</f>
        <v>D475</v>
      </c>
      <c r="B555" s="39">
        <f>SUMIFS(ItemInvoiceTracker!C:C,ItemInvoiceTracker!E:E,Data!A555)</f>
        <v>0</v>
      </c>
    </row>
    <row r="556" spans="1:2" x14ac:dyDescent="0.3">
      <c r="A556" s="38" t="str">
        <f>Lookup!A556</f>
        <v>D476</v>
      </c>
      <c r="B556" s="39">
        <f>SUMIFS(ItemInvoiceTracker!C:C,ItemInvoiceTracker!E:E,Data!A556)</f>
        <v>0</v>
      </c>
    </row>
    <row r="557" spans="1:2" x14ac:dyDescent="0.3">
      <c r="A557" s="38" t="str">
        <f>Lookup!A557</f>
        <v>D477</v>
      </c>
      <c r="B557" s="39">
        <f>SUMIFS(ItemInvoiceTracker!C:C,ItemInvoiceTracker!E:E,Data!A557)</f>
        <v>0</v>
      </c>
    </row>
    <row r="558" spans="1:2" x14ac:dyDescent="0.3">
      <c r="A558" s="38" t="str">
        <f>Lookup!A558</f>
        <v>D478</v>
      </c>
      <c r="B558" s="39">
        <f>SUMIFS(ItemInvoiceTracker!C:C,ItemInvoiceTracker!E:E,Data!A558)</f>
        <v>0</v>
      </c>
    </row>
    <row r="559" spans="1:2" x14ac:dyDescent="0.3">
      <c r="A559" s="38" t="str">
        <f>Lookup!A559</f>
        <v>D479</v>
      </c>
      <c r="B559" s="39">
        <f>SUMIFS(ItemInvoiceTracker!C:C,ItemInvoiceTracker!E:E,Data!A559)</f>
        <v>0</v>
      </c>
    </row>
    <row r="560" spans="1:2" x14ac:dyDescent="0.3">
      <c r="A560" s="38" t="str">
        <f>Lookup!A560</f>
        <v>D480</v>
      </c>
      <c r="B560" s="39">
        <f>SUMIFS(ItemInvoiceTracker!C:C,ItemInvoiceTracker!E:E,Data!A560)</f>
        <v>0</v>
      </c>
    </row>
    <row r="561" spans="1:2" x14ac:dyDescent="0.3">
      <c r="A561" s="38" t="str">
        <f>Lookup!A561</f>
        <v>D481</v>
      </c>
      <c r="B561" s="39">
        <f>SUMIFS(ItemInvoiceTracker!C:C,ItemInvoiceTracker!E:E,Data!A561)</f>
        <v>0</v>
      </c>
    </row>
    <row r="562" spans="1:2" x14ac:dyDescent="0.3">
      <c r="A562" s="38" t="str">
        <f>Lookup!A562</f>
        <v>D482</v>
      </c>
      <c r="B562" s="39">
        <f>SUMIFS(ItemInvoiceTracker!C:C,ItemInvoiceTracker!E:E,Data!A562)</f>
        <v>0</v>
      </c>
    </row>
    <row r="563" spans="1:2" x14ac:dyDescent="0.3">
      <c r="A563" s="38" t="str">
        <f>Lookup!A563</f>
        <v>D483</v>
      </c>
      <c r="B563" s="39">
        <f>SUMIFS(ItemInvoiceTracker!C:C,ItemInvoiceTracker!E:E,Data!A563)</f>
        <v>0</v>
      </c>
    </row>
    <row r="564" spans="1:2" x14ac:dyDescent="0.3">
      <c r="A564" s="38" t="str">
        <f>Lookup!A564</f>
        <v>D484</v>
      </c>
      <c r="B564" s="39">
        <f>SUMIFS(ItemInvoiceTracker!C:C,ItemInvoiceTracker!E:E,Data!A564)</f>
        <v>0</v>
      </c>
    </row>
    <row r="565" spans="1:2" x14ac:dyDescent="0.3">
      <c r="A565" s="38" t="str">
        <f>Lookup!A565</f>
        <v>D485</v>
      </c>
      <c r="B565" s="39">
        <f>SUMIFS(ItemInvoiceTracker!C:C,ItemInvoiceTracker!E:E,Data!A565)</f>
        <v>0</v>
      </c>
    </row>
    <row r="566" spans="1:2" x14ac:dyDescent="0.3">
      <c r="A566" s="38" t="str">
        <f>Lookup!A566</f>
        <v>D486</v>
      </c>
      <c r="B566" s="39">
        <f>SUMIFS(ItemInvoiceTracker!C:C,ItemInvoiceTracker!E:E,Data!A566)</f>
        <v>0</v>
      </c>
    </row>
    <row r="567" spans="1:2" x14ac:dyDescent="0.3">
      <c r="A567" s="38" t="str">
        <f>Lookup!A567</f>
        <v>D487</v>
      </c>
      <c r="B567" s="39">
        <f>SUMIFS(ItemInvoiceTracker!C:C,ItemInvoiceTracker!E:E,Data!A567)</f>
        <v>0</v>
      </c>
    </row>
    <row r="568" spans="1:2" x14ac:dyDescent="0.3">
      <c r="A568" s="38" t="str">
        <f>Lookup!A568</f>
        <v>D488</v>
      </c>
      <c r="B568" s="39">
        <f>SUMIFS(ItemInvoiceTracker!C:C,ItemInvoiceTracker!E:E,Data!A568)</f>
        <v>0</v>
      </c>
    </row>
    <row r="569" spans="1:2" x14ac:dyDescent="0.3">
      <c r="A569" s="38" t="str">
        <f>Lookup!A569</f>
        <v>D489</v>
      </c>
      <c r="B569" s="39">
        <f>SUMIFS(ItemInvoiceTracker!C:C,ItemInvoiceTracker!E:E,Data!A569)</f>
        <v>0</v>
      </c>
    </row>
    <row r="570" spans="1:2" x14ac:dyDescent="0.3">
      <c r="A570" s="38" t="str">
        <f>Lookup!A570</f>
        <v>D490</v>
      </c>
      <c r="B570" s="39">
        <f>SUMIFS(ItemInvoiceTracker!C:C,ItemInvoiceTracker!E:E,Data!A570)</f>
        <v>0</v>
      </c>
    </row>
    <row r="571" spans="1:2" x14ac:dyDescent="0.3">
      <c r="A571" s="38" t="str">
        <f>Lookup!A571</f>
        <v>D491</v>
      </c>
      <c r="B571" s="39">
        <f>SUMIFS(ItemInvoiceTracker!C:C,ItemInvoiceTracker!E:E,Data!A571)</f>
        <v>0</v>
      </c>
    </row>
    <row r="572" spans="1:2" x14ac:dyDescent="0.3">
      <c r="A572" s="38" t="str">
        <f>Lookup!A572</f>
        <v>D492</v>
      </c>
      <c r="B572" s="39">
        <f>SUMIFS(ItemInvoiceTracker!C:C,ItemInvoiceTracker!E:E,Data!A572)</f>
        <v>0</v>
      </c>
    </row>
    <row r="573" spans="1:2" x14ac:dyDescent="0.3">
      <c r="A573" s="38" t="str">
        <f>Lookup!A573</f>
        <v>D493</v>
      </c>
      <c r="B573" s="39">
        <f>SUMIFS(ItemInvoiceTracker!C:C,ItemInvoiceTracker!E:E,Data!A573)</f>
        <v>0</v>
      </c>
    </row>
    <row r="574" spans="1:2" x14ac:dyDescent="0.3">
      <c r="A574" s="38" t="str">
        <f>Lookup!A574</f>
        <v>D494</v>
      </c>
      <c r="B574" s="39">
        <f>SUMIFS(ItemInvoiceTracker!C:C,ItemInvoiceTracker!E:E,Data!A574)</f>
        <v>0</v>
      </c>
    </row>
    <row r="575" spans="1:2" x14ac:dyDescent="0.3">
      <c r="A575" s="38" t="str">
        <f>Lookup!A575</f>
        <v>D495</v>
      </c>
      <c r="B575" s="39">
        <f>SUMIFS(ItemInvoiceTracker!C:C,ItemInvoiceTracker!E:E,Data!A575)</f>
        <v>0</v>
      </c>
    </row>
    <row r="576" spans="1:2" x14ac:dyDescent="0.3">
      <c r="A576" s="38" t="str">
        <f>Lookup!A576</f>
        <v>D496</v>
      </c>
      <c r="B576" s="39">
        <f>SUMIFS(ItemInvoiceTracker!C:C,ItemInvoiceTracker!E:E,Data!A576)</f>
        <v>0</v>
      </c>
    </row>
    <row r="577" spans="1:2" x14ac:dyDescent="0.3">
      <c r="A577" s="38" t="str">
        <f>Lookup!A577</f>
        <v>D497</v>
      </c>
      <c r="B577" s="39">
        <f>SUMIFS(ItemInvoiceTracker!C:C,ItemInvoiceTracker!E:E,Data!A577)</f>
        <v>0</v>
      </c>
    </row>
    <row r="578" spans="1:2" x14ac:dyDescent="0.3">
      <c r="A578" s="38" t="str">
        <f>Lookup!A578</f>
        <v>D498</v>
      </c>
      <c r="B578" s="39">
        <f>SUMIFS(ItemInvoiceTracker!C:C,ItemInvoiceTracker!E:E,Data!A578)</f>
        <v>0</v>
      </c>
    </row>
    <row r="579" spans="1:2" x14ac:dyDescent="0.3">
      <c r="A579" s="38" t="str">
        <f>Lookup!A579</f>
        <v>D499</v>
      </c>
      <c r="B579" s="39">
        <f>SUMIFS(ItemInvoiceTracker!C:C,ItemInvoiceTracker!E:E,Data!A579)</f>
        <v>0</v>
      </c>
    </row>
    <row r="580" spans="1:2" x14ac:dyDescent="0.3">
      <c r="A580" s="38" t="str">
        <f>Lookup!A580</f>
        <v>D500</v>
      </c>
      <c r="B580" s="39">
        <f>SUMIFS(ItemInvoiceTracker!C:C,ItemInvoiceTracker!E:E,Data!A580)</f>
        <v>0</v>
      </c>
    </row>
    <row r="581" spans="1:2" x14ac:dyDescent="0.3">
      <c r="A581" s="38" t="str">
        <f>Lookup!A581</f>
        <v>D501</v>
      </c>
      <c r="B581" s="39">
        <f>SUMIFS(ItemInvoiceTracker!C:C,ItemInvoiceTracker!E:E,Data!A581)</f>
        <v>0</v>
      </c>
    </row>
    <row r="582" spans="1:2" x14ac:dyDescent="0.3">
      <c r="A582" s="38" t="str">
        <f>Lookup!A582</f>
        <v>D502</v>
      </c>
      <c r="B582" s="39">
        <f>SUMIFS(ItemInvoiceTracker!C:C,ItemInvoiceTracker!E:E,Data!A582)</f>
        <v>0</v>
      </c>
    </row>
    <row r="583" spans="1:2" x14ac:dyDescent="0.3">
      <c r="A583" s="38" t="str">
        <f>Lookup!A583</f>
        <v>D503</v>
      </c>
      <c r="B583" s="39">
        <f>SUMIFS(ItemInvoiceTracker!C:C,ItemInvoiceTracker!E:E,Data!A583)</f>
        <v>0</v>
      </c>
    </row>
    <row r="584" spans="1:2" x14ac:dyDescent="0.3">
      <c r="A584" s="38" t="str">
        <f>Lookup!A584</f>
        <v>D504</v>
      </c>
      <c r="B584" s="39">
        <f>SUMIFS(ItemInvoiceTracker!C:C,ItemInvoiceTracker!E:E,Data!A584)</f>
        <v>0</v>
      </c>
    </row>
    <row r="585" spans="1:2" x14ac:dyDescent="0.3">
      <c r="A585" s="38" t="str">
        <f>Lookup!A585</f>
        <v>D505</v>
      </c>
      <c r="B585" s="39">
        <f>SUMIFS(ItemInvoiceTracker!C:C,ItemInvoiceTracker!E:E,Data!A585)</f>
        <v>0</v>
      </c>
    </row>
    <row r="586" spans="1:2" x14ac:dyDescent="0.3">
      <c r="A586" s="38" t="str">
        <f>Lookup!A586</f>
        <v>D506</v>
      </c>
      <c r="B586" s="39">
        <f>SUMIFS(ItemInvoiceTracker!C:C,ItemInvoiceTracker!E:E,Data!A586)</f>
        <v>0</v>
      </c>
    </row>
    <row r="587" spans="1:2" x14ac:dyDescent="0.3">
      <c r="A587" s="38" t="str">
        <f>Lookup!A587</f>
        <v>D507</v>
      </c>
      <c r="B587" s="39">
        <f>SUMIFS(ItemInvoiceTracker!C:C,ItemInvoiceTracker!E:E,Data!A587)</f>
        <v>0</v>
      </c>
    </row>
    <row r="588" spans="1:2" x14ac:dyDescent="0.3">
      <c r="A588" s="38" t="str">
        <f>Lookup!A588</f>
        <v>D508</v>
      </c>
      <c r="B588" s="39">
        <f>SUMIFS(ItemInvoiceTracker!C:C,ItemInvoiceTracker!E:E,Data!A588)</f>
        <v>0</v>
      </c>
    </row>
    <row r="589" spans="1:2" x14ac:dyDescent="0.3">
      <c r="A589" s="38" t="str">
        <f>Lookup!A589</f>
        <v>D509</v>
      </c>
      <c r="B589" s="39">
        <f>SUMIFS(ItemInvoiceTracker!C:C,ItemInvoiceTracker!E:E,Data!A589)</f>
        <v>0</v>
      </c>
    </row>
    <row r="590" spans="1:2" x14ac:dyDescent="0.3">
      <c r="A590" s="38" t="str">
        <f>Lookup!A590</f>
        <v>D510</v>
      </c>
      <c r="B590" s="39">
        <f>SUMIFS(ItemInvoiceTracker!C:C,ItemInvoiceTracker!E:E,Data!A590)</f>
        <v>0</v>
      </c>
    </row>
    <row r="591" spans="1:2" x14ac:dyDescent="0.3">
      <c r="A591" s="38" t="str">
        <f>Lookup!A591</f>
        <v>D511</v>
      </c>
      <c r="B591" s="39">
        <f>SUMIFS(ItemInvoiceTracker!C:C,ItemInvoiceTracker!E:E,Data!A591)</f>
        <v>0</v>
      </c>
    </row>
    <row r="592" spans="1:2" x14ac:dyDescent="0.3">
      <c r="A592" s="38" t="str">
        <f>Lookup!A592</f>
        <v>D512</v>
      </c>
      <c r="B592" s="39">
        <f>SUMIFS(ItemInvoiceTracker!C:C,ItemInvoiceTracker!E:E,Data!A592)</f>
        <v>0</v>
      </c>
    </row>
    <row r="593" spans="1:2" x14ac:dyDescent="0.3">
      <c r="A593" s="38" t="str">
        <f>Lookup!A593</f>
        <v>D513</v>
      </c>
      <c r="B593" s="39">
        <f>SUMIFS(ItemInvoiceTracker!C:C,ItemInvoiceTracker!E:E,Data!A593)</f>
        <v>0</v>
      </c>
    </row>
    <row r="594" spans="1:2" x14ac:dyDescent="0.3">
      <c r="A594" s="38" t="str">
        <f>Lookup!A594</f>
        <v>D514</v>
      </c>
      <c r="B594" s="39">
        <f>SUMIFS(ItemInvoiceTracker!C:C,ItemInvoiceTracker!E:E,Data!A594)</f>
        <v>0</v>
      </c>
    </row>
    <row r="595" spans="1:2" x14ac:dyDescent="0.3">
      <c r="A595" s="38" t="str">
        <f>Lookup!A595</f>
        <v>D515</v>
      </c>
      <c r="B595" s="39">
        <f>SUMIFS(ItemInvoiceTracker!C:C,ItemInvoiceTracker!E:E,Data!A595)</f>
        <v>0</v>
      </c>
    </row>
    <row r="596" spans="1:2" x14ac:dyDescent="0.3">
      <c r="A596" s="38" t="str">
        <f>Lookup!A596</f>
        <v>D516</v>
      </c>
      <c r="B596" s="39">
        <f>SUMIFS(ItemInvoiceTracker!C:C,ItemInvoiceTracker!E:E,Data!A596)</f>
        <v>0</v>
      </c>
    </row>
    <row r="597" spans="1:2" x14ac:dyDescent="0.3">
      <c r="A597" s="38" t="str">
        <f>Lookup!A597</f>
        <v>D517</v>
      </c>
      <c r="B597" s="39">
        <f>SUMIFS(ItemInvoiceTracker!C:C,ItemInvoiceTracker!E:E,Data!A597)</f>
        <v>0</v>
      </c>
    </row>
    <row r="598" spans="1:2" x14ac:dyDescent="0.3">
      <c r="A598" s="38" t="str">
        <f>Lookup!A598</f>
        <v>D518</v>
      </c>
      <c r="B598" s="39">
        <f>SUMIFS(ItemInvoiceTracker!C:C,ItemInvoiceTracker!E:E,Data!A598)</f>
        <v>0</v>
      </c>
    </row>
    <row r="599" spans="1:2" x14ac:dyDescent="0.3">
      <c r="A599" s="38" t="str">
        <f>Lookup!A599</f>
        <v>D519</v>
      </c>
      <c r="B599" s="39">
        <f>SUMIFS(ItemInvoiceTracker!C:C,ItemInvoiceTracker!E:E,Data!A599)</f>
        <v>0</v>
      </c>
    </row>
    <row r="600" spans="1:2" x14ac:dyDescent="0.3">
      <c r="A600" s="38" t="str">
        <f>Lookup!A600</f>
        <v>D520</v>
      </c>
      <c r="B600" s="39">
        <f>SUMIFS(ItemInvoiceTracker!C:C,ItemInvoiceTracker!E:E,Data!A600)</f>
        <v>0</v>
      </c>
    </row>
    <row r="601" spans="1:2" x14ac:dyDescent="0.3">
      <c r="A601" s="38" t="str">
        <f>Lookup!A601</f>
        <v>D521</v>
      </c>
      <c r="B601" s="39">
        <f>SUMIFS(ItemInvoiceTracker!C:C,ItemInvoiceTracker!E:E,Data!A601)</f>
        <v>0</v>
      </c>
    </row>
    <row r="602" spans="1:2" x14ac:dyDescent="0.3">
      <c r="A602" s="38" t="str">
        <f>Lookup!A602</f>
        <v>D522</v>
      </c>
      <c r="B602" s="39">
        <f>SUMIFS(ItemInvoiceTracker!C:C,ItemInvoiceTracker!E:E,Data!A602)</f>
        <v>0</v>
      </c>
    </row>
    <row r="603" spans="1:2" x14ac:dyDescent="0.3">
      <c r="A603" s="38" t="str">
        <f>Lookup!A603</f>
        <v>D523</v>
      </c>
      <c r="B603" s="39">
        <f>SUMIFS(ItemInvoiceTracker!C:C,ItemInvoiceTracker!E:E,Data!A603)</f>
        <v>0</v>
      </c>
    </row>
    <row r="604" spans="1:2" x14ac:dyDescent="0.3">
      <c r="A604" s="38" t="str">
        <f>Lookup!A604</f>
        <v>D524</v>
      </c>
      <c r="B604" s="39">
        <f>SUMIFS(ItemInvoiceTracker!C:C,ItemInvoiceTracker!E:E,Data!A604)</f>
        <v>0</v>
      </c>
    </row>
    <row r="605" spans="1:2" x14ac:dyDescent="0.3">
      <c r="A605" s="38" t="str">
        <f>Lookup!A605</f>
        <v>D525</v>
      </c>
      <c r="B605" s="39">
        <f>SUMIFS(ItemInvoiceTracker!C:C,ItemInvoiceTracker!E:E,Data!A605)</f>
        <v>0</v>
      </c>
    </row>
    <row r="606" spans="1:2" x14ac:dyDescent="0.3">
      <c r="A606" s="38" t="str">
        <f>Lookup!A606</f>
        <v>D526</v>
      </c>
      <c r="B606" s="39">
        <f>SUMIFS(ItemInvoiceTracker!C:C,ItemInvoiceTracker!E:E,Data!A606)</f>
        <v>0</v>
      </c>
    </row>
    <row r="607" spans="1:2" x14ac:dyDescent="0.3">
      <c r="A607" s="38" t="str">
        <f>Lookup!A607</f>
        <v>D527</v>
      </c>
      <c r="B607" s="39">
        <f>SUMIFS(ItemInvoiceTracker!C:C,ItemInvoiceTracker!E:E,Data!A607)</f>
        <v>0</v>
      </c>
    </row>
    <row r="608" spans="1:2" x14ac:dyDescent="0.3">
      <c r="A608" s="38" t="str">
        <f>Lookup!A608</f>
        <v>D528</v>
      </c>
      <c r="B608" s="39">
        <f>SUMIFS(ItemInvoiceTracker!C:C,ItemInvoiceTracker!E:E,Data!A608)</f>
        <v>0</v>
      </c>
    </row>
    <row r="609" spans="1:2" x14ac:dyDescent="0.3">
      <c r="A609" s="38" t="str">
        <f>Lookup!A609</f>
        <v>D529</v>
      </c>
      <c r="B609" s="39">
        <f>SUMIFS(ItemInvoiceTracker!C:C,ItemInvoiceTracker!E:E,Data!A609)</f>
        <v>0</v>
      </c>
    </row>
    <row r="610" spans="1:2" x14ac:dyDescent="0.3">
      <c r="A610" s="38" t="str">
        <f>Lookup!A610</f>
        <v>D530</v>
      </c>
      <c r="B610" s="39">
        <f>SUMIFS(ItemInvoiceTracker!C:C,ItemInvoiceTracker!E:E,Data!A610)</f>
        <v>0</v>
      </c>
    </row>
    <row r="611" spans="1:2" x14ac:dyDescent="0.3">
      <c r="A611" s="38" t="str">
        <f>Lookup!A611</f>
        <v>D531</v>
      </c>
      <c r="B611" s="39">
        <f>SUMIFS(ItemInvoiceTracker!C:C,ItemInvoiceTracker!E:E,Data!A611)</f>
        <v>0</v>
      </c>
    </row>
    <row r="612" spans="1:2" x14ac:dyDescent="0.3">
      <c r="A612" s="38" t="str">
        <f>Lookup!A612</f>
        <v>D532</v>
      </c>
      <c r="B612" s="39">
        <f>SUMIFS(ItemInvoiceTracker!C:C,ItemInvoiceTracker!E:E,Data!A612)</f>
        <v>0</v>
      </c>
    </row>
    <row r="613" spans="1:2" x14ac:dyDescent="0.3">
      <c r="A613" s="38" t="str">
        <f>Lookup!A613</f>
        <v>D533</v>
      </c>
      <c r="B613" s="39">
        <f>SUMIFS(ItemInvoiceTracker!C:C,ItemInvoiceTracker!E:E,Data!A613)</f>
        <v>0</v>
      </c>
    </row>
    <row r="614" spans="1:2" x14ac:dyDescent="0.3">
      <c r="A614" s="38" t="str">
        <f>Lookup!A614</f>
        <v>D534</v>
      </c>
      <c r="B614" s="39">
        <f>SUMIFS(ItemInvoiceTracker!C:C,ItemInvoiceTracker!E:E,Data!A614)</f>
        <v>0</v>
      </c>
    </row>
    <row r="615" spans="1:2" x14ac:dyDescent="0.3">
      <c r="A615" s="38" t="str">
        <f>Lookup!A615</f>
        <v>D535</v>
      </c>
      <c r="B615" s="39">
        <f>SUMIFS(ItemInvoiceTracker!C:C,ItemInvoiceTracker!E:E,Data!A615)</f>
        <v>0</v>
      </c>
    </row>
    <row r="616" spans="1:2" x14ac:dyDescent="0.3">
      <c r="A616" s="38" t="str">
        <f>Lookup!A616</f>
        <v>D536</v>
      </c>
      <c r="B616" s="39">
        <f>SUMIFS(ItemInvoiceTracker!C:C,ItemInvoiceTracker!E:E,Data!A616)</f>
        <v>0</v>
      </c>
    </row>
    <row r="617" spans="1:2" x14ac:dyDescent="0.3">
      <c r="A617" s="38" t="str">
        <f>Lookup!A617</f>
        <v>D537</v>
      </c>
      <c r="B617" s="39">
        <f>SUMIFS(ItemInvoiceTracker!C:C,ItemInvoiceTracker!E:E,Data!A617)</f>
        <v>0</v>
      </c>
    </row>
    <row r="618" spans="1:2" x14ac:dyDescent="0.3">
      <c r="A618" s="38" t="str">
        <f>Lookup!A618</f>
        <v>D538</v>
      </c>
      <c r="B618" s="39">
        <f>SUMIFS(ItemInvoiceTracker!C:C,ItemInvoiceTracker!E:E,Data!A618)</f>
        <v>0</v>
      </c>
    </row>
    <row r="619" spans="1:2" x14ac:dyDescent="0.3">
      <c r="A619" s="38" t="str">
        <f>Lookup!A619</f>
        <v>D539</v>
      </c>
      <c r="B619" s="39">
        <f>SUMIFS(ItemInvoiceTracker!C:C,ItemInvoiceTracker!E:E,Data!A619)</f>
        <v>0</v>
      </c>
    </row>
    <row r="620" spans="1:2" x14ac:dyDescent="0.3">
      <c r="A620" s="38" t="str">
        <f>Lookup!A620</f>
        <v>D540</v>
      </c>
      <c r="B620" s="39">
        <f>SUMIFS(ItemInvoiceTracker!C:C,ItemInvoiceTracker!E:E,Data!A620)</f>
        <v>0</v>
      </c>
    </row>
    <row r="621" spans="1:2" x14ac:dyDescent="0.3">
      <c r="A621" s="38" t="str">
        <f>Lookup!A621</f>
        <v>D541</v>
      </c>
      <c r="B621" s="39">
        <f>SUMIFS(ItemInvoiceTracker!C:C,ItemInvoiceTracker!E:E,Data!A621)</f>
        <v>0</v>
      </c>
    </row>
    <row r="622" spans="1:2" x14ac:dyDescent="0.3">
      <c r="A622" s="38" t="str">
        <f>Lookup!A622</f>
        <v>D542</v>
      </c>
      <c r="B622" s="39">
        <f>SUMIFS(ItemInvoiceTracker!C:C,ItemInvoiceTracker!E:E,Data!A622)</f>
        <v>0</v>
      </c>
    </row>
    <row r="623" spans="1:2" x14ac:dyDescent="0.3">
      <c r="A623" s="38" t="str">
        <f>Lookup!A623</f>
        <v>D543</v>
      </c>
      <c r="B623" s="39">
        <f>SUMIFS(ItemInvoiceTracker!C:C,ItemInvoiceTracker!E:E,Data!A623)</f>
        <v>0</v>
      </c>
    </row>
    <row r="624" spans="1:2" x14ac:dyDescent="0.3">
      <c r="A624" s="38" t="str">
        <f>Lookup!A624</f>
        <v>D544</v>
      </c>
      <c r="B624" s="39">
        <f>SUMIFS(ItemInvoiceTracker!C:C,ItemInvoiceTracker!E:E,Data!A624)</f>
        <v>0</v>
      </c>
    </row>
    <row r="625" spans="1:2" x14ac:dyDescent="0.3">
      <c r="A625" s="38" t="str">
        <f>Lookup!A625</f>
        <v>D545</v>
      </c>
      <c r="B625" s="39">
        <f>SUMIFS(ItemInvoiceTracker!C:C,ItemInvoiceTracker!E:E,Data!A625)</f>
        <v>0</v>
      </c>
    </row>
    <row r="626" spans="1:2" x14ac:dyDescent="0.3">
      <c r="A626" s="38" t="str">
        <f>Lookup!A626</f>
        <v>D546</v>
      </c>
      <c r="B626" s="39">
        <f>SUMIFS(ItemInvoiceTracker!C:C,ItemInvoiceTracker!E:E,Data!A626)</f>
        <v>0</v>
      </c>
    </row>
    <row r="627" spans="1:2" x14ac:dyDescent="0.3">
      <c r="A627" s="38" t="str">
        <f>Lookup!A627</f>
        <v>D547</v>
      </c>
      <c r="B627" s="39">
        <f>SUMIFS(ItemInvoiceTracker!C:C,ItemInvoiceTracker!E:E,Data!A627)</f>
        <v>0</v>
      </c>
    </row>
    <row r="628" spans="1:2" x14ac:dyDescent="0.3">
      <c r="A628" s="38" t="str">
        <f>Lookup!A628</f>
        <v>D548</v>
      </c>
      <c r="B628" s="39">
        <f>SUMIFS(ItemInvoiceTracker!C:C,ItemInvoiceTracker!E:E,Data!A628)</f>
        <v>0</v>
      </c>
    </row>
    <row r="629" spans="1:2" x14ac:dyDescent="0.3">
      <c r="A629" s="38" t="str">
        <f>Lookup!A629</f>
        <v>D549</v>
      </c>
      <c r="B629" s="39">
        <f>SUMIFS(ItemInvoiceTracker!C:C,ItemInvoiceTracker!E:E,Data!A629)</f>
        <v>0</v>
      </c>
    </row>
    <row r="630" spans="1:2" x14ac:dyDescent="0.3">
      <c r="A630" s="38" t="str">
        <f>Lookup!A630</f>
        <v>D550</v>
      </c>
      <c r="B630" s="39">
        <f>SUMIFS(ItemInvoiceTracker!C:C,ItemInvoiceTracker!E:E,Data!A630)</f>
        <v>0</v>
      </c>
    </row>
    <row r="631" spans="1:2" x14ac:dyDescent="0.3">
      <c r="A631" s="38" t="str">
        <f>Lookup!A631</f>
        <v>D551</v>
      </c>
      <c r="B631" s="39">
        <f>SUMIFS(ItemInvoiceTracker!C:C,ItemInvoiceTracker!E:E,Data!A631)</f>
        <v>0</v>
      </c>
    </row>
    <row r="632" spans="1:2" x14ac:dyDescent="0.3">
      <c r="A632" s="38" t="str">
        <f>Lookup!A632</f>
        <v>D552</v>
      </c>
      <c r="B632" s="39">
        <f>SUMIFS(ItemInvoiceTracker!C:C,ItemInvoiceTracker!E:E,Data!A632)</f>
        <v>0</v>
      </c>
    </row>
    <row r="633" spans="1:2" x14ac:dyDescent="0.3">
      <c r="A633" s="38" t="str">
        <f>Lookup!A633</f>
        <v>D553</v>
      </c>
      <c r="B633" s="39">
        <f>SUMIFS(ItemInvoiceTracker!C:C,ItemInvoiceTracker!E:E,Data!A633)</f>
        <v>0</v>
      </c>
    </row>
    <row r="634" spans="1:2" x14ac:dyDescent="0.3">
      <c r="A634" s="38" t="str">
        <f>Lookup!A634</f>
        <v>D554</v>
      </c>
      <c r="B634" s="39">
        <f>SUMIFS(ItemInvoiceTracker!C:C,ItemInvoiceTracker!E:E,Data!A634)</f>
        <v>0</v>
      </c>
    </row>
    <row r="635" spans="1:2" x14ac:dyDescent="0.3">
      <c r="A635" s="38" t="str">
        <f>Lookup!A635</f>
        <v>D555</v>
      </c>
      <c r="B635" s="39">
        <f>SUMIFS(ItemInvoiceTracker!C:C,ItemInvoiceTracker!E:E,Data!A635)</f>
        <v>0</v>
      </c>
    </row>
    <row r="636" spans="1:2" x14ac:dyDescent="0.3">
      <c r="A636" s="38" t="str">
        <f>Lookup!A636</f>
        <v>D556</v>
      </c>
      <c r="B636" s="39">
        <f>SUMIFS(ItemInvoiceTracker!C:C,ItemInvoiceTracker!E:E,Data!A636)</f>
        <v>0</v>
      </c>
    </row>
    <row r="637" spans="1:2" x14ac:dyDescent="0.3">
      <c r="A637" s="38" t="str">
        <f>Lookup!A637</f>
        <v>D557</v>
      </c>
      <c r="B637" s="39">
        <f>SUMIFS(ItemInvoiceTracker!C:C,ItemInvoiceTracker!E:E,Data!A637)</f>
        <v>0</v>
      </c>
    </row>
    <row r="638" spans="1:2" x14ac:dyDescent="0.3">
      <c r="A638" s="38" t="str">
        <f>Lookup!A638</f>
        <v>D558</v>
      </c>
      <c r="B638" s="39">
        <f>SUMIFS(ItemInvoiceTracker!C:C,ItemInvoiceTracker!E:E,Data!A638)</f>
        <v>0</v>
      </c>
    </row>
    <row r="639" spans="1:2" x14ac:dyDescent="0.3">
      <c r="A639" s="38" t="str">
        <f>Lookup!A639</f>
        <v>D559</v>
      </c>
      <c r="B639" s="39">
        <f>SUMIFS(ItemInvoiceTracker!C:C,ItemInvoiceTracker!E:E,Data!A639)</f>
        <v>0</v>
      </c>
    </row>
    <row r="640" spans="1:2" x14ac:dyDescent="0.3">
      <c r="A640" s="38" t="str">
        <f>Lookup!A640</f>
        <v>D560</v>
      </c>
      <c r="B640" s="39">
        <f>SUMIFS(ItemInvoiceTracker!C:C,ItemInvoiceTracker!E:E,Data!A640)</f>
        <v>0</v>
      </c>
    </row>
    <row r="641" spans="1:2" x14ac:dyDescent="0.3">
      <c r="A641" s="38" t="str">
        <f>Lookup!A641</f>
        <v>D561</v>
      </c>
      <c r="B641" s="39">
        <f>SUMIFS(ItemInvoiceTracker!C:C,ItemInvoiceTracker!E:E,Data!A641)</f>
        <v>0</v>
      </c>
    </row>
    <row r="642" spans="1:2" x14ac:dyDescent="0.3">
      <c r="A642" s="38" t="str">
        <f>Lookup!A642</f>
        <v>D562</v>
      </c>
      <c r="B642" s="39">
        <f>SUMIFS(ItemInvoiceTracker!C:C,ItemInvoiceTracker!E:E,Data!A642)</f>
        <v>0</v>
      </c>
    </row>
    <row r="643" spans="1:2" x14ac:dyDescent="0.3">
      <c r="A643" s="38" t="str">
        <f>Lookup!A643</f>
        <v>D563</v>
      </c>
      <c r="B643" s="39">
        <f>SUMIFS(ItemInvoiceTracker!C:C,ItemInvoiceTracker!E:E,Data!A643)</f>
        <v>0</v>
      </c>
    </row>
    <row r="644" spans="1:2" x14ac:dyDescent="0.3">
      <c r="A644" s="38" t="str">
        <f>Lookup!A644</f>
        <v>D564</v>
      </c>
      <c r="B644" s="39">
        <f>SUMIFS(ItemInvoiceTracker!C:C,ItemInvoiceTracker!E:E,Data!A644)</f>
        <v>0</v>
      </c>
    </row>
    <row r="645" spans="1:2" x14ac:dyDescent="0.3">
      <c r="A645" s="38" t="str">
        <f>Lookup!A645</f>
        <v>D565</v>
      </c>
      <c r="B645" s="39">
        <f>SUMIFS(ItemInvoiceTracker!C:C,ItemInvoiceTracker!E:E,Data!A645)</f>
        <v>0</v>
      </c>
    </row>
    <row r="646" spans="1:2" x14ac:dyDescent="0.3">
      <c r="A646" s="38" t="str">
        <f>Lookup!A646</f>
        <v>D566</v>
      </c>
      <c r="B646" s="39">
        <f>SUMIFS(ItemInvoiceTracker!C:C,ItemInvoiceTracker!E:E,Data!A646)</f>
        <v>0</v>
      </c>
    </row>
    <row r="647" spans="1:2" x14ac:dyDescent="0.3">
      <c r="A647" s="38" t="str">
        <f>Lookup!A647</f>
        <v>D567</v>
      </c>
      <c r="B647" s="39">
        <f>SUMIFS(ItemInvoiceTracker!C:C,ItemInvoiceTracker!E:E,Data!A647)</f>
        <v>0</v>
      </c>
    </row>
    <row r="648" spans="1:2" x14ac:dyDescent="0.3">
      <c r="A648" s="38" t="str">
        <f>Lookup!A648</f>
        <v>D568</v>
      </c>
      <c r="B648" s="39">
        <f>SUMIFS(ItemInvoiceTracker!C:C,ItemInvoiceTracker!E:E,Data!A648)</f>
        <v>0</v>
      </c>
    </row>
    <row r="649" spans="1:2" x14ac:dyDescent="0.3">
      <c r="A649" s="38" t="str">
        <f>Lookup!A649</f>
        <v>D569</v>
      </c>
      <c r="B649" s="39">
        <f>SUMIFS(ItemInvoiceTracker!C:C,ItemInvoiceTracker!E:E,Data!A649)</f>
        <v>0</v>
      </c>
    </row>
    <row r="650" spans="1:2" x14ac:dyDescent="0.3">
      <c r="A650" s="38" t="str">
        <f>Lookup!A650</f>
        <v>D570</v>
      </c>
      <c r="B650" s="39">
        <f>SUMIFS(ItemInvoiceTracker!C:C,ItemInvoiceTracker!E:E,Data!A650)</f>
        <v>0</v>
      </c>
    </row>
    <row r="651" spans="1:2" x14ac:dyDescent="0.3">
      <c r="A651" s="38" t="str">
        <f>Lookup!A651</f>
        <v>D571</v>
      </c>
      <c r="B651" s="39">
        <f>SUMIFS(ItemInvoiceTracker!C:C,ItemInvoiceTracker!E:E,Data!A651)</f>
        <v>0</v>
      </c>
    </row>
    <row r="652" spans="1:2" x14ac:dyDescent="0.3">
      <c r="A652" s="38" t="str">
        <f>Lookup!A652</f>
        <v>D572</v>
      </c>
      <c r="B652" s="39">
        <f>SUMIFS(ItemInvoiceTracker!C:C,ItemInvoiceTracker!E:E,Data!A652)</f>
        <v>0</v>
      </c>
    </row>
    <row r="653" spans="1:2" x14ac:dyDescent="0.3">
      <c r="A653" s="38" t="str">
        <f>Lookup!A653</f>
        <v>D573</v>
      </c>
      <c r="B653" s="39">
        <f>SUMIFS(ItemInvoiceTracker!C:C,ItemInvoiceTracker!E:E,Data!A653)</f>
        <v>0</v>
      </c>
    </row>
    <row r="654" spans="1:2" x14ac:dyDescent="0.3">
      <c r="A654" s="38" t="str">
        <f>Lookup!A654</f>
        <v>D574</v>
      </c>
      <c r="B654" s="39">
        <f>SUMIFS(ItemInvoiceTracker!C:C,ItemInvoiceTracker!E:E,Data!A654)</f>
        <v>0</v>
      </c>
    </row>
    <row r="655" spans="1:2" x14ac:dyDescent="0.3">
      <c r="A655" s="38" t="str">
        <f>Lookup!A655</f>
        <v>D575</v>
      </c>
      <c r="B655" s="39">
        <f>SUMIFS(ItemInvoiceTracker!C:C,ItemInvoiceTracker!E:E,Data!A655)</f>
        <v>0</v>
      </c>
    </row>
    <row r="656" spans="1:2" x14ac:dyDescent="0.3">
      <c r="A656" s="38" t="str">
        <f>Lookup!A656</f>
        <v>D576</v>
      </c>
      <c r="B656" s="39">
        <f>SUMIFS(ItemInvoiceTracker!C:C,ItemInvoiceTracker!E:E,Data!A656)</f>
        <v>0</v>
      </c>
    </row>
    <row r="657" spans="1:2" x14ac:dyDescent="0.3">
      <c r="A657" s="38" t="str">
        <f>Lookup!A657</f>
        <v>D577</v>
      </c>
      <c r="B657" s="39">
        <f>SUMIFS(ItemInvoiceTracker!C:C,ItemInvoiceTracker!E:E,Data!A657)</f>
        <v>0</v>
      </c>
    </row>
    <row r="658" spans="1:2" x14ac:dyDescent="0.3">
      <c r="A658" s="38" t="str">
        <f>Lookup!A658</f>
        <v>D578</v>
      </c>
      <c r="B658" s="39">
        <f>SUMIFS(ItemInvoiceTracker!C:C,ItemInvoiceTracker!E:E,Data!A658)</f>
        <v>0</v>
      </c>
    </row>
    <row r="659" spans="1:2" x14ac:dyDescent="0.3">
      <c r="A659" s="38" t="str">
        <f>Lookup!A659</f>
        <v>D579</v>
      </c>
      <c r="B659" s="39">
        <f>SUMIFS(ItemInvoiceTracker!C:C,ItemInvoiceTracker!E:E,Data!A659)</f>
        <v>0</v>
      </c>
    </row>
    <row r="660" spans="1:2" x14ac:dyDescent="0.3">
      <c r="A660" s="38" t="str">
        <f>Lookup!A660</f>
        <v>D580</v>
      </c>
      <c r="B660" s="39">
        <f>SUMIFS(ItemInvoiceTracker!C:C,ItemInvoiceTracker!E:E,Data!A660)</f>
        <v>0</v>
      </c>
    </row>
    <row r="661" spans="1:2" x14ac:dyDescent="0.3">
      <c r="A661" s="38" t="str">
        <f>Lookup!A661</f>
        <v>D581</v>
      </c>
      <c r="B661" s="39">
        <f>SUMIFS(ItemInvoiceTracker!C:C,ItemInvoiceTracker!E:E,Data!A661)</f>
        <v>0</v>
      </c>
    </row>
    <row r="662" spans="1:2" x14ac:dyDescent="0.3">
      <c r="A662" s="38" t="str">
        <f>Lookup!A662</f>
        <v>D582</v>
      </c>
      <c r="B662" s="39">
        <f>SUMIFS(ItemInvoiceTracker!C:C,ItemInvoiceTracker!E:E,Data!A662)</f>
        <v>0</v>
      </c>
    </row>
    <row r="663" spans="1:2" x14ac:dyDescent="0.3">
      <c r="A663" s="38" t="str">
        <f>Lookup!A663</f>
        <v>D583</v>
      </c>
      <c r="B663" s="39">
        <f>SUMIFS(ItemInvoiceTracker!C:C,ItemInvoiceTracker!E:E,Data!A663)</f>
        <v>0</v>
      </c>
    </row>
    <row r="664" spans="1:2" x14ac:dyDescent="0.3">
      <c r="A664" s="38" t="str">
        <f>Lookup!A664</f>
        <v>D584</v>
      </c>
      <c r="B664" s="39">
        <f>SUMIFS(ItemInvoiceTracker!C:C,ItemInvoiceTracker!E:E,Data!A664)</f>
        <v>0</v>
      </c>
    </row>
    <row r="665" spans="1:2" x14ac:dyDescent="0.3">
      <c r="A665" s="38" t="str">
        <f>Lookup!A665</f>
        <v>D585</v>
      </c>
      <c r="B665" s="39">
        <f>SUMIFS(ItemInvoiceTracker!C:C,ItemInvoiceTracker!E:E,Data!A665)</f>
        <v>0</v>
      </c>
    </row>
    <row r="666" spans="1:2" x14ac:dyDescent="0.3">
      <c r="A666" s="38" t="str">
        <f>Lookup!A666</f>
        <v>D586</v>
      </c>
      <c r="B666" s="39">
        <f>SUMIFS(ItemInvoiceTracker!C:C,ItemInvoiceTracker!E:E,Data!A666)</f>
        <v>0</v>
      </c>
    </row>
    <row r="667" spans="1:2" x14ac:dyDescent="0.3">
      <c r="A667" s="38" t="str">
        <f>Lookup!A667</f>
        <v>D587</v>
      </c>
      <c r="B667" s="39">
        <f>SUMIFS(ItemInvoiceTracker!C:C,ItemInvoiceTracker!E:E,Data!A667)</f>
        <v>0</v>
      </c>
    </row>
    <row r="668" spans="1:2" x14ac:dyDescent="0.3">
      <c r="A668" s="38" t="str">
        <f>Lookup!A668</f>
        <v>D588</v>
      </c>
      <c r="B668" s="39">
        <f>SUMIFS(ItemInvoiceTracker!C:C,ItemInvoiceTracker!E:E,Data!A668)</f>
        <v>0</v>
      </c>
    </row>
    <row r="669" spans="1:2" x14ac:dyDescent="0.3">
      <c r="A669" s="38" t="str">
        <f>Lookup!A669</f>
        <v>D589</v>
      </c>
      <c r="B669" s="39">
        <f>SUMIFS(ItemInvoiceTracker!C:C,ItemInvoiceTracker!E:E,Data!A669)</f>
        <v>0</v>
      </c>
    </row>
    <row r="670" spans="1:2" x14ac:dyDescent="0.3">
      <c r="A670" s="38" t="str">
        <f>Lookup!A670</f>
        <v>D590</v>
      </c>
      <c r="B670" s="39">
        <f>SUMIFS(ItemInvoiceTracker!C:C,ItemInvoiceTracker!E:E,Data!A670)</f>
        <v>0</v>
      </c>
    </row>
    <row r="671" spans="1:2" x14ac:dyDescent="0.3">
      <c r="A671" s="38" t="str">
        <f>Lookup!A671</f>
        <v>D591</v>
      </c>
      <c r="B671" s="39">
        <f>SUMIFS(ItemInvoiceTracker!C:C,ItemInvoiceTracker!E:E,Data!A671)</f>
        <v>0</v>
      </c>
    </row>
    <row r="672" spans="1:2" x14ac:dyDescent="0.3">
      <c r="A672" s="38" t="str">
        <f>Lookup!A672</f>
        <v>D592</v>
      </c>
      <c r="B672" s="39">
        <f>SUMIFS(ItemInvoiceTracker!C:C,ItemInvoiceTracker!E:E,Data!A672)</f>
        <v>0</v>
      </c>
    </row>
    <row r="673" spans="1:2" x14ac:dyDescent="0.3">
      <c r="A673" s="38" t="str">
        <f>Lookup!A673</f>
        <v>D593</v>
      </c>
      <c r="B673" s="39">
        <f>SUMIFS(ItemInvoiceTracker!C:C,ItemInvoiceTracker!E:E,Data!A673)</f>
        <v>0</v>
      </c>
    </row>
    <row r="674" spans="1:2" x14ac:dyDescent="0.3">
      <c r="A674" s="38" t="str">
        <f>Lookup!A674</f>
        <v>D594</v>
      </c>
      <c r="B674" s="39">
        <f>SUMIFS(ItemInvoiceTracker!C:C,ItemInvoiceTracker!E:E,Data!A674)</f>
        <v>0</v>
      </c>
    </row>
    <row r="675" spans="1:2" x14ac:dyDescent="0.3">
      <c r="A675" s="38" t="str">
        <f>Lookup!A675</f>
        <v>D595</v>
      </c>
      <c r="B675" s="39">
        <f>SUMIFS(ItemInvoiceTracker!C:C,ItemInvoiceTracker!E:E,Data!A675)</f>
        <v>0</v>
      </c>
    </row>
    <row r="676" spans="1:2" x14ac:dyDescent="0.3">
      <c r="A676" s="38" t="str">
        <f>Lookup!A676</f>
        <v>D596</v>
      </c>
      <c r="B676" s="39">
        <f>SUMIFS(ItemInvoiceTracker!C:C,ItemInvoiceTracker!E:E,Data!A676)</f>
        <v>0</v>
      </c>
    </row>
    <row r="677" spans="1:2" x14ac:dyDescent="0.3">
      <c r="A677" s="38" t="str">
        <f>Lookup!A677</f>
        <v>D597</v>
      </c>
      <c r="B677" s="39">
        <f>SUMIFS(ItemInvoiceTracker!C:C,ItemInvoiceTracker!E:E,Data!A677)</f>
        <v>0</v>
      </c>
    </row>
    <row r="678" spans="1:2" x14ac:dyDescent="0.3">
      <c r="A678" s="38" t="str">
        <f>Lookup!A678</f>
        <v>D598</v>
      </c>
      <c r="B678" s="39">
        <f>SUMIFS(ItemInvoiceTracker!C:C,ItemInvoiceTracker!E:E,Data!A678)</f>
        <v>0</v>
      </c>
    </row>
    <row r="679" spans="1:2" x14ac:dyDescent="0.3">
      <c r="A679" s="38" t="str">
        <f>Lookup!A679</f>
        <v>D599</v>
      </c>
      <c r="B679" s="39">
        <f>SUMIFS(ItemInvoiceTracker!C:C,ItemInvoiceTracker!E:E,Data!A679)</f>
        <v>0</v>
      </c>
    </row>
    <row r="680" spans="1:2" x14ac:dyDescent="0.3">
      <c r="A680" s="38" t="str">
        <f>Lookup!A680</f>
        <v>D600</v>
      </c>
      <c r="B680" s="39">
        <f>SUMIFS(ItemInvoiceTracker!C:C,ItemInvoiceTracker!E:E,Data!A680)</f>
        <v>0</v>
      </c>
    </row>
    <row r="681" spans="1:2" x14ac:dyDescent="0.3">
      <c r="A681" s="38" t="str">
        <f>Lookup!A681</f>
        <v>D601</v>
      </c>
      <c r="B681" s="39">
        <f>SUMIFS(ItemInvoiceTracker!C:C,ItemInvoiceTracker!E:E,Data!A681)</f>
        <v>0</v>
      </c>
    </row>
    <row r="682" spans="1:2" x14ac:dyDescent="0.3">
      <c r="A682" s="38" t="str">
        <f>Lookup!A682</f>
        <v>D602</v>
      </c>
      <c r="B682" s="39">
        <f>SUMIFS(ItemInvoiceTracker!C:C,ItemInvoiceTracker!E:E,Data!A682)</f>
        <v>0</v>
      </c>
    </row>
    <row r="683" spans="1:2" x14ac:dyDescent="0.3">
      <c r="A683" s="38" t="str">
        <f>Lookup!A683</f>
        <v>D603</v>
      </c>
      <c r="B683" s="39">
        <f>SUMIFS(ItemInvoiceTracker!C:C,ItemInvoiceTracker!E:E,Data!A683)</f>
        <v>0</v>
      </c>
    </row>
    <row r="684" spans="1:2" x14ac:dyDescent="0.3">
      <c r="A684" s="38" t="str">
        <f>Lookup!A684</f>
        <v>D604</v>
      </c>
      <c r="B684" s="39">
        <f>SUMIFS(ItemInvoiceTracker!C:C,ItemInvoiceTracker!E:E,Data!A684)</f>
        <v>0</v>
      </c>
    </row>
    <row r="685" spans="1:2" x14ac:dyDescent="0.3">
      <c r="A685" s="38" t="str">
        <f>Lookup!A685</f>
        <v>D605</v>
      </c>
      <c r="B685" s="39">
        <f>SUMIFS(ItemInvoiceTracker!C:C,ItemInvoiceTracker!E:E,Data!A685)</f>
        <v>0</v>
      </c>
    </row>
    <row r="686" spans="1:2" x14ac:dyDescent="0.3">
      <c r="A686" s="38" t="str">
        <f>Lookup!A686</f>
        <v>D606</v>
      </c>
      <c r="B686" s="39">
        <f>SUMIFS(ItemInvoiceTracker!C:C,ItemInvoiceTracker!E:E,Data!A686)</f>
        <v>0</v>
      </c>
    </row>
    <row r="687" spans="1:2" x14ac:dyDescent="0.3">
      <c r="A687" s="38" t="str">
        <f>Lookup!A687</f>
        <v>D607</v>
      </c>
      <c r="B687" s="39">
        <f>SUMIFS(ItemInvoiceTracker!C:C,ItemInvoiceTracker!E:E,Data!A687)</f>
        <v>0</v>
      </c>
    </row>
    <row r="688" spans="1:2" x14ac:dyDescent="0.3">
      <c r="A688" s="38" t="str">
        <f>Lookup!A688</f>
        <v>D608</v>
      </c>
      <c r="B688" s="39">
        <f>SUMIFS(ItemInvoiceTracker!C:C,ItemInvoiceTracker!E:E,Data!A688)</f>
        <v>0</v>
      </c>
    </row>
    <row r="689" spans="1:2" x14ac:dyDescent="0.3">
      <c r="A689" s="38" t="str">
        <f>Lookup!A689</f>
        <v>D609</v>
      </c>
      <c r="B689" s="39">
        <f>SUMIFS(ItemInvoiceTracker!C:C,ItemInvoiceTracker!E:E,Data!A689)</f>
        <v>0</v>
      </c>
    </row>
    <row r="690" spans="1:2" x14ac:dyDescent="0.3">
      <c r="A690" s="38" t="str">
        <f>Lookup!A690</f>
        <v>D610</v>
      </c>
      <c r="B690" s="39">
        <f>SUMIFS(ItemInvoiceTracker!C:C,ItemInvoiceTracker!E:E,Data!A690)</f>
        <v>0</v>
      </c>
    </row>
    <row r="691" spans="1:2" x14ac:dyDescent="0.3">
      <c r="A691" s="38" t="str">
        <f>Lookup!A691</f>
        <v>A1</v>
      </c>
      <c r="B691" s="39">
        <f>SUMIFS(ItemInvoiceTracker!C:C,ItemInvoiceTracker!E:E,Data!A691)</f>
        <v>0</v>
      </c>
    </row>
    <row r="692" spans="1:2" x14ac:dyDescent="0.3">
      <c r="A692" s="38" t="str">
        <f>Lookup!A692</f>
        <v>A2</v>
      </c>
      <c r="B692" s="39">
        <f>SUMIFS(ItemInvoiceTracker!C:C,ItemInvoiceTracker!E:E,Data!A692)</f>
        <v>0</v>
      </c>
    </row>
    <row r="693" spans="1:2" x14ac:dyDescent="0.3">
      <c r="A693" s="38" t="str">
        <f>Lookup!A693</f>
        <v>A3</v>
      </c>
      <c r="B693" s="39">
        <f>SUMIFS(ItemInvoiceTracker!C:C,ItemInvoiceTracker!E:E,Data!A693)</f>
        <v>0</v>
      </c>
    </row>
    <row r="694" spans="1:2" x14ac:dyDescent="0.3">
      <c r="A694" s="38" t="str">
        <f>Lookup!A694</f>
        <v>A4</v>
      </c>
      <c r="B694" s="39">
        <f>SUMIFS(ItemInvoiceTracker!C:C,ItemInvoiceTracker!E:E,Data!A694)</f>
        <v>0</v>
      </c>
    </row>
    <row r="695" spans="1:2" x14ac:dyDescent="0.3">
      <c r="A695" s="38" t="str">
        <f>Lookup!A695</f>
        <v>A5</v>
      </c>
      <c r="B695" s="39">
        <f>SUMIFS(ItemInvoiceTracker!C:C,ItemInvoiceTracker!E:E,Data!A695)</f>
        <v>0</v>
      </c>
    </row>
    <row r="696" spans="1:2" x14ac:dyDescent="0.3">
      <c r="A696" s="38" t="str">
        <f>Lookup!A696</f>
        <v>A6</v>
      </c>
      <c r="B696" s="39">
        <f>SUMIFS(ItemInvoiceTracker!C:C,ItemInvoiceTracker!E:E,Data!A696)</f>
        <v>0</v>
      </c>
    </row>
    <row r="697" spans="1:2" x14ac:dyDescent="0.3">
      <c r="A697" s="38" t="str">
        <f>Lookup!A697</f>
        <v>A7</v>
      </c>
      <c r="B697" s="39">
        <f>SUMIFS(ItemInvoiceTracker!C:C,ItemInvoiceTracker!E:E,Data!A697)</f>
        <v>0</v>
      </c>
    </row>
    <row r="698" spans="1:2" x14ac:dyDescent="0.3">
      <c r="A698" s="38" t="str">
        <f>Lookup!A698</f>
        <v>A8</v>
      </c>
      <c r="B698" s="39">
        <f>SUMIFS(ItemInvoiceTracker!C:C,ItemInvoiceTracker!E:E,Data!A698)</f>
        <v>0</v>
      </c>
    </row>
    <row r="699" spans="1:2" x14ac:dyDescent="0.3">
      <c r="A699" s="38" t="str">
        <f>Lookup!A699</f>
        <v>A9</v>
      </c>
      <c r="B699" s="39">
        <f>SUMIFS(ItemInvoiceTracker!C:C,ItemInvoiceTracker!E:E,Data!A699)</f>
        <v>0</v>
      </c>
    </row>
    <row r="700" spans="1:2" x14ac:dyDescent="0.3">
      <c r="A700" s="38" t="str">
        <f>Lookup!A700</f>
        <v>A10</v>
      </c>
      <c r="B700" s="39">
        <f>SUMIFS(ItemInvoiceTracker!C:C,ItemInvoiceTracker!E:E,Data!A700)</f>
        <v>0</v>
      </c>
    </row>
    <row r="701" spans="1:2" x14ac:dyDescent="0.3">
      <c r="A701" s="38" t="str">
        <f>Lookup!A701</f>
        <v>A11</v>
      </c>
      <c r="B701" s="39">
        <f>SUMIFS(ItemInvoiceTracker!C:C,ItemInvoiceTracker!E:E,Data!A701)</f>
        <v>0</v>
      </c>
    </row>
    <row r="702" spans="1:2" x14ac:dyDescent="0.3">
      <c r="A702" s="38" t="str">
        <f>Lookup!A702</f>
        <v>A12</v>
      </c>
      <c r="B702" s="39">
        <f>SUMIFS(ItemInvoiceTracker!C:C,ItemInvoiceTracker!E:E,Data!A702)</f>
        <v>0</v>
      </c>
    </row>
    <row r="703" spans="1:2" x14ac:dyDescent="0.3">
      <c r="A703" s="38" t="str">
        <f>Lookup!A703</f>
        <v>A13</v>
      </c>
      <c r="B703" s="39">
        <f>SUMIFS(ItemInvoiceTracker!C:C,ItemInvoiceTracker!E:E,Data!A703)</f>
        <v>0</v>
      </c>
    </row>
    <row r="704" spans="1:2" x14ac:dyDescent="0.3">
      <c r="A704" s="38" t="str">
        <f>Lookup!A704</f>
        <v>A14</v>
      </c>
      <c r="B704" s="39">
        <f>SUMIFS(ItemInvoiceTracker!C:C,ItemInvoiceTracker!E:E,Data!A704)</f>
        <v>0</v>
      </c>
    </row>
    <row r="705" spans="1:2" x14ac:dyDescent="0.3">
      <c r="A705" s="38" t="str">
        <f>Lookup!A705</f>
        <v>A15</v>
      </c>
      <c r="B705" s="39">
        <f>SUMIFS(ItemInvoiceTracker!C:C,ItemInvoiceTracker!E:E,Data!A705)</f>
        <v>0</v>
      </c>
    </row>
    <row r="706" spans="1:2" x14ac:dyDescent="0.3">
      <c r="A706" s="38" t="str">
        <f>Lookup!A706</f>
        <v>A16</v>
      </c>
      <c r="B706" s="39">
        <f>SUMIFS(ItemInvoiceTracker!C:C,ItemInvoiceTracker!E:E,Data!A706)</f>
        <v>0</v>
      </c>
    </row>
    <row r="707" spans="1:2" x14ac:dyDescent="0.3">
      <c r="A707" s="38" t="str">
        <f>Lookup!A707</f>
        <v>A17</v>
      </c>
      <c r="B707" s="39">
        <f>SUMIFS(ItemInvoiceTracker!C:C,ItemInvoiceTracker!E:E,Data!A707)</f>
        <v>0</v>
      </c>
    </row>
    <row r="708" spans="1:2" x14ac:dyDescent="0.3">
      <c r="A708" s="38" t="str">
        <f>Lookup!A708</f>
        <v>A18</v>
      </c>
      <c r="B708" s="39">
        <f>SUMIFS(ItemInvoiceTracker!C:C,ItemInvoiceTracker!E:E,Data!A708)</f>
        <v>0</v>
      </c>
    </row>
    <row r="709" spans="1:2" x14ac:dyDescent="0.3">
      <c r="A709" s="38" t="str">
        <f>Lookup!A709</f>
        <v>A19</v>
      </c>
      <c r="B709" s="39">
        <f>SUMIFS(ItemInvoiceTracker!C:C,ItemInvoiceTracker!E:E,Data!A709)</f>
        <v>0</v>
      </c>
    </row>
    <row r="710" spans="1:2" x14ac:dyDescent="0.3">
      <c r="A710" s="38" t="str">
        <f>Lookup!A710</f>
        <v>A20</v>
      </c>
      <c r="B710" s="39">
        <f>SUMIFS(ItemInvoiceTracker!C:C,ItemInvoiceTracker!E:E,Data!A710)</f>
        <v>0</v>
      </c>
    </row>
    <row r="711" spans="1:2" x14ac:dyDescent="0.3">
      <c r="A711" s="38" t="str">
        <f>Lookup!A711</f>
        <v>A21</v>
      </c>
      <c r="B711" s="39">
        <f>SUMIFS(ItemInvoiceTracker!C:C,ItemInvoiceTracker!E:E,Data!A711)</f>
        <v>0</v>
      </c>
    </row>
    <row r="712" spans="1:2" x14ac:dyDescent="0.3">
      <c r="A712" s="38" t="str">
        <f>Lookup!A712</f>
        <v>A22</v>
      </c>
      <c r="B712" s="39">
        <f>SUMIFS(ItemInvoiceTracker!C:C,ItemInvoiceTracker!E:E,Data!A712)</f>
        <v>0</v>
      </c>
    </row>
    <row r="713" spans="1:2" x14ac:dyDescent="0.3">
      <c r="A713" s="38" t="str">
        <f>Lookup!A713</f>
        <v>A23</v>
      </c>
      <c r="B713" s="39">
        <f>SUMIFS(ItemInvoiceTracker!C:C,ItemInvoiceTracker!E:E,Data!A713)</f>
        <v>0</v>
      </c>
    </row>
    <row r="714" spans="1:2" x14ac:dyDescent="0.3">
      <c r="A714" s="38" t="str">
        <f>Lookup!A714</f>
        <v>A24</v>
      </c>
      <c r="B714" s="39">
        <f>SUMIFS(ItemInvoiceTracker!C:C,ItemInvoiceTracker!E:E,Data!A714)</f>
        <v>0</v>
      </c>
    </row>
    <row r="715" spans="1:2" x14ac:dyDescent="0.3">
      <c r="A715" s="38" t="str">
        <f>Lookup!A715</f>
        <v>A25</v>
      </c>
      <c r="B715" s="39">
        <f>SUMIFS(ItemInvoiceTracker!C:C,ItemInvoiceTracker!E:E,Data!A715)</f>
        <v>0</v>
      </c>
    </row>
    <row r="716" spans="1:2" x14ac:dyDescent="0.3">
      <c r="A716" s="38" t="str">
        <f>Lookup!A716</f>
        <v>A26</v>
      </c>
      <c r="B716" s="39">
        <f>SUMIFS(ItemInvoiceTracker!C:C,ItemInvoiceTracker!E:E,Data!A716)</f>
        <v>0</v>
      </c>
    </row>
    <row r="717" spans="1:2" x14ac:dyDescent="0.3">
      <c r="A717" s="38" t="str">
        <f>Lookup!A717</f>
        <v>A27</v>
      </c>
      <c r="B717" s="39">
        <f>SUMIFS(ItemInvoiceTracker!C:C,ItemInvoiceTracker!E:E,Data!A717)</f>
        <v>0</v>
      </c>
    </row>
    <row r="718" spans="1:2" x14ac:dyDescent="0.3">
      <c r="A718" s="38" t="str">
        <f>Lookup!A718</f>
        <v>A28</v>
      </c>
      <c r="B718" s="39">
        <f>SUMIFS(ItemInvoiceTracker!C:C,ItemInvoiceTracker!E:E,Data!A718)</f>
        <v>0</v>
      </c>
    </row>
    <row r="719" spans="1:2" x14ac:dyDescent="0.3">
      <c r="A719" s="38" t="str">
        <f>Lookup!A719</f>
        <v>A29</v>
      </c>
      <c r="B719" s="39">
        <f>SUMIFS(ItemInvoiceTracker!C:C,ItemInvoiceTracker!E:E,Data!A719)</f>
        <v>0</v>
      </c>
    </row>
    <row r="720" spans="1:2" x14ac:dyDescent="0.3">
      <c r="A720" s="38" t="str">
        <f>Lookup!A720</f>
        <v>A30</v>
      </c>
      <c r="B720" s="39">
        <f>SUMIFS(ItemInvoiceTracker!C:C,ItemInvoiceTracker!E:E,Data!A720)</f>
        <v>0</v>
      </c>
    </row>
    <row r="721" spans="1:2" x14ac:dyDescent="0.3">
      <c r="A721" s="38" t="str">
        <f>Lookup!A721</f>
        <v>A31</v>
      </c>
      <c r="B721" s="39">
        <f>SUMIFS(ItemInvoiceTracker!C:C,ItemInvoiceTracker!E:E,Data!A721)</f>
        <v>0</v>
      </c>
    </row>
    <row r="722" spans="1:2" x14ac:dyDescent="0.3">
      <c r="A722" s="38" t="str">
        <f>Lookup!A722</f>
        <v>A32</v>
      </c>
      <c r="B722" s="39">
        <f>SUMIFS(ItemInvoiceTracker!C:C,ItemInvoiceTracker!E:E,Data!A722)</f>
        <v>0</v>
      </c>
    </row>
    <row r="723" spans="1:2" x14ac:dyDescent="0.3">
      <c r="A723" s="38" t="str">
        <f>Lookup!A723</f>
        <v>A33</v>
      </c>
      <c r="B723" s="39">
        <f>SUMIFS(ItemInvoiceTracker!C:C,ItemInvoiceTracker!E:E,Data!A723)</f>
        <v>0</v>
      </c>
    </row>
    <row r="724" spans="1:2" x14ac:dyDescent="0.3">
      <c r="A724" s="38" t="str">
        <f>Lookup!A724</f>
        <v>A34</v>
      </c>
      <c r="B724" s="39">
        <f>SUMIFS(ItemInvoiceTracker!C:C,ItemInvoiceTracker!E:E,Data!A724)</f>
        <v>0</v>
      </c>
    </row>
    <row r="725" spans="1:2" x14ac:dyDescent="0.3">
      <c r="A725" s="38" t="str">
        <f>Lookup!A725</f>
        <v>A35</v>
      </c>
      <c r="B725" s="39">
        <f>SUMIFS(ItemInvoiceTracker!C:C,ItemInvoiceTracker!E:E,Data!A725)</f>
        <v>0</v>
      </c>
    </row>
    <row r="726" spans="1:2" x14ac:dyDescent="0.3">
      <c r="A726" s="38" t="str">
        <f>Lookup!A726</f>
        <v>A36</v>
      </c>
      <c r="B726" s="39">
        <f>SUMIFS(ItemInvoiceTracker!C:C,ItemInvoiceTracker!E:E,Data!A726)</f>
        <v>0</v>
      </c>
    </row>
    <row r="727" spans="1:2" x14ac:dyDescent="0.3">
      <c r="A727" s="38" t="str">
        <f>Lookup!A727</f>
        <v>A37</v>
      </c>
      <c r="B727" s="39">
        <f>SUMIFS(ItemInvoiceTracker!C:C,ItemInvoiceTracker!E:E,Data!A727)</f>
        <v>0</v>
      </c>
    </row>
    <row r="728" spans="1:2" x14ac:dyDescent="0.3">
      <c r="A728" s="38" t="str">
        <f>Lookup!A728</f>
        <v>A38</v>
      </c>
      <c r="B728" s="39">
        <f>SUMIFS(ItemInvoiceTracker!C:C,ItemInvoiceTracker!E:E,Data!A728)</f>
        <v>0</v>
      </c>
    </row>
    <row r="729" spans="1:2" x14ac:dyDescent="0.3">
      <c r="A729" s="38" t="str">
        <f>Lookup!A729</f>
        <v>A39</v>
      </c>
      <c r="B729" s="39">
        <f>SUMIFS(ItemInvoiceTracker!C:C,ItemInvoiceTracker!E:E,Data!A729)</f>
        <v>0</v>
      </c>
    </row>
    <row r="730" spans="1:2" x14ac:dyDescent="0.3">
      <c r="A730" s="38" t="str">
        <f>Lookup!A730</f>
        <v>A40</v>
      </c>
      <c r="B730" s="39">
        <f>SUMIFS(ItemInvoiceTracker!C:C,ItemInvoiceTracker!E:E,Data!A730)</f>
        <v>0</v>
      </c>
    </row>
    <row r="731" spans="1:2" x14ac:dyDescent="0.3">
      <c r="A731" s="38" t="str">
        <f>Lookup!A731</f>
        <v>A41</v>
      </c>
      <c r="B731" s="39">
        <f>SUMIFS(ItemInvoiceTracker!C:C,ItemInvoiceTracker!E:E,Data!A731)</f>
        <v>0</v>
      </c>
    </row>
    <row r="732" spans="1:2" x14ac:dyDescent="0.3">
      <c r="A732" s="38" t="str">
        <f>Lookup!A732</f>
        <v>A42</v>
      </c>
      <c r="B732" s="39">
        <f>SUMIFS(ItemInvoiceTracker!C:C,ItemInvoiceTracker!E:E,Data!A732)</f>
        <v>0</v>
      </c>
    </row>
    <row r="733" spans="1:2" x14ac:dyDescent="0.3">
      <c r="A733" s="38" t="str">
        <f>Lookup!A733</f>
        <v>A43</v>
      </c>
      <c r="B733" s="39">
        <f>SUMIFS(ItemInvoiceTracker!C:C,ItemInvoiceTracker!E:E,Data!A733)</f>
        <v>0</v>
      </c>
    </row>
    <row r="734" spans="1:2" x14ac:dyDescent="0.3">
      <c r="A734" s="38" t="str">
        <f>Lookup!A734</f>
        <v>A44</v>
      </c>
      <c r="B734" s="39">
        <f>SUMIFS(ItemInvoiceTracker!C:C,ItemInvoiceTracker!E:E,Data!A734)</f>
        <v>0</v>
      </c>
    </row>
    <row r="735" spans="1:2" x14ac:dyDescent="0.3">
      <c r="A735" s="38" t="str">
        <f>Lookup!A735</f>
        <v>A45</v>
      </c>
      <c r="B735" s="39">
        <f>SUMIFS(ItemInvoiceTracker!C:C,ItemInvoiceTracker!E:E,Data!A735)</f>
        <v>0</v>
      </c>
    </row>
    <row r="736" spans="1:2" x14ac:dyDescent="0.3">
      <c r="A736" s="38" t="str">
        <f>Lookup!A736</f>
        <v>A46</v>
      </c>
      <c r="B736" s="39">
        <f>SUMIFS(ItemInvoiceTracker!C:C,ItemInvoiceTracker!E:E,Data!A736)</f>
        <v>0</v>
      </c>
    </row>
    <row r="737" spans="1:2" x14ac:dyDescent="0.3">
      <c r="A737" s="38" t="str">
        <f>Lookup!A737</f>
        <v>A47</v>
      </c>
      <c r="B737" s="39">
        <f>SUMIFS(ItemInvoiceTracker!C:C,ItemInvoiceTracker!E:E,Data!A737)</f>
        <v>0</v>
      </c>
    </row>
    <row r="738" spans="1:2" x14ac:dyDescent="0.3">
      <c r="A738" s="38" t="str">
        <f>Lookup!A738</f>
        <v>A48</v>
      </c>
      <c r="B738" s="39">
        <f>SUMIFS(ItemInvoiceTracker!C:C,ItemInvoiceTracker!E:E,Data!A738)</f>
        <v>0</v>
      </c>
    </row>
    <row r="739" spans="1:2" x14ac:dyDescent="0.3">
      <c r="A739" s="38" t="str">
        <f>Lookup!A739</f>
        <v>A49</v>
      </c>
      <c r="B739" s="39">
        <f>SUMIFS(ItemInvoiceTracker!C:C,ItemInvoiceTracker!E:E,Data!A739)</f>
        <v>0</v>
      </c>
    </row>
    <row r="740" spans="1:2" x14ac:dyDescent="0.3">
      <c r="A740" s="38" t="str">
        <f>Lookup!A740</f>
        <v>A50</v>
      </c>
      <c r="B740" s="39">
        <f>SUMIFS(ItemInvoiceTracker!C:C,ItemInvoiceTracker!E:E,Data!A740)</f>
        <v>0</v>
      </c>
    </row>
    <row r="741" spans="1:2" x14ac:dyDescent="0.3">
      <c r="A741" s="38" t="str">
        <f>Lookup!A741</f>
        <v>A51</v>
      </c>
      <c r="B741" s="39">
        <f>SUMIFS(ItemInvoiceTracker!C:C,ItemInvoiceTracker!E:E,Data!A741)</f>
        <v>0</v>
      </c>
    </row>
    <row r="742" spans="1:2" x14ac:dyDescent="0.3">
      <c r="A742" s="38" t="str">
        <f>Lookup!A742</f>
        <v>A52</v>
      </c>
      <c r="B742" s="39">
        <f>SUMIFS(ItemInvoiceTracker!C:C,ItemInvoiceTracker!E:E,Data!A742)</f>
        <v>0</v>
      </c>
    </row>
    <row r="743" spans="1:2" x14ac:dyDescent="0.3">
      <c r="A743" s="38" t="str">
        <f>Lookup!A743</f>
        <v>A53</v>
      </c>
      <c r="B743" s="39">
        <f>SUMIFS(ItemInvoiceTracker!C:C,ItemInvoiceTracker!E:E,Data!A743)</f>
        <v>0</v>
      </c>
    </row>
    <row r="744" spans="1:2" x14ac:dyDescent="0.3">
      <c r="A744" s="38" t="str">
        <f>Lookup!A744</f>
        <v>A54</v>
      </c>
      <c r="B744" s="39">
        <f>SUMIFS(ItemInvoiceTracker!C:C,ItemInvoiceTracker!E:E,Data!A744)</f>
        <v>0</v>
      </c>
    </row>
    <row r="745" spans="1:2" x14ac:dyDescent="0.3">
      <c r="A745" s="38" t="str">
        <f>Lookup!A745</f>
        <v>A55</v>
      </c>
      <c r="B745" s="39">
        <f>SUMIFS(ItemInvoiceTracker!C:C,ItemInvoiceTracker!E:E,Data!A745)</f>
        <v>0</v>
      </c>
    </row>
    <row r="746" spans="1:2" x14ac:dyDescent="0.3">
      <c r="A746" s="38" t="str">
        <f>Lookup!A746</f>
        <v>A56</v>
      </c>
      <c r="B746" s="39">
        <f>SUMIFS(ItemInvoiceTracker!C:C,ItemInvoiceTracker!E:E,Data!A746)</f>
        <v>0</v>
      </c>
    </row>
    <row r="747" spans="1:2" x14ac:dyDescent="0.3">
      <c r="A747" s="38" t="str">
        <f>Lookup!A747</f>
        <v>A57</v>
      </c>
      <c r="B747" s="39">
        <f>SUMIFS(ItemInvoiceTracker!C:C,ItemInvoiceTracker!E:E,Data!A747)</f>
        <v>0</v>
      </c>
    </row>
    <row r="748" spans="1:2" x14ac:dyDescent="0.3">
      <c r="A748" s="38" t="str">
        <f>Lookup!A748</f>
        <v>A58</v>
      </c>
      <c r="B748" s="39">
        <f>SUMIFS(ItemInvoiceTracker!C:C,ItemInvoiceTracker!E:E,Data!A748)</f>
        <v>0</v>
      </c>
    </row>
    <row r="749" spans="1:2" x14ac:dyDescent="0.3">
      <c r="A749" s="38" t="str">
        <f>Lookup!A749</f>
        <v>A59</v>
      </c>
      <c r="B749" s="39">
        <f>SUMIFS(ItemInvoiceTracker!C:C,ItemInvoiceTracker!E:E,Data!A749)</f>
        <v>0</v>
      </c>
    </row>
    <row r="750" spans="1:2" x14ac:dyDescent="0.3">
      <c r="A750" s="38" t="str">
        <f>Lookup!A750</f>
        <v>A60</v>
      </c>
      <c r="B750" s="39">
        <f>SUMIFS(ItemInvoiceTracker!C:C,ItemInvoiceTracker!E:E,Data!A750)</f>
        <v>0</v>
      </c>
    </row>
    <row r="751" spans="1:2" x14ac:dyDescent="0.3">
      <c r="A751" s="38" t="str">
        <f>Lookup!A751</f>
        <v>A61</v>
      </c>
      <c r="B751" s="39">
        <f>SUMIFS(ItemInvoiceTracker!C:C,ItemInvoiceTracker!E:E,Data!A751)</f>
        <v>0</v>
      </c>
    </row>
    <row r="752" spans="1:2" x14ac:dyDescent="0.3">
      <c r="A752" s="38" t="str">
        <f>Lookup!A752</f>
        <v>A62</v>
      </c>
      <c r="B752" s="39">
        <f>SUMIFS(ItemInvoiceTracker!C:C,ItemInvoiceTracker!E:E,Data!A752)</f>
        <v>0</v>
      </c>
    </row>
    <row r="753" spans="1:2" x14ac:dyDescent="0.3">
      <c r="A753" s="38" t="str">
        <f>Lookup!A753</f>
        <v>A63</v>
      </c>
      <c r="B753" s="39">
        <f>SUMIFS(ItemInvoiceTracker!C:C,ItemInvoiceTracker!E:E,Data!A753)</f>
        <v>0</v>
      </c>
    </row>
    <row r="754" spans="1:2" x14ac:dyDescent="0.3">
      <c r="A754" s="38" t="str">
        <f>Lookup!A754</f>
        <v>A64</v>
      </c>
      <c r="B754" s="39">
        <f>SUMIFS(ItemInvoiceTracker!C:C,ItemInvoiceTracker!E:E,Data!A754)</f>
        <v>0</v>
      </c>
    </row>
    <row r="755" spans="1:2" x14ac:dyDescent="0.3">
      <c r="A755" s="38" t="str">
        <f>Lookup!A755</f>
        <v>A65</v>
      </c>
      <c r="B755" s="39">
        <f>SUMIFS(ItemInvoiceTracker!C:C,ItemInvoiceTracker!E:E,Data!A755)</f>
        <v>0</v>
      </c>
    </row>
    <row r="756" spans="1:2" x14ac:dyDescent="0.3">
      <c r="A756" s="38" t="str">
        <f>Lookup!A756</f>
        <v>A66</v>
      </c>
      <c r="B756" s="39">
        <f>SUMIFS(ItemInvoiceTracker!C:C,ItemInvoiceTracker!E:E,Data!A756)</f>
        <v>0</v>
      </c>
    </row>
    <row r="757" spans="1:2" x14ac:dyDescent="0.3">
      <c r="A757" s="38" t="str">
        <f>Lookup!A757</f>
        <v>A67</v>
      </c>
      <c r="B757" s="39">
        <f>SUMIFS(ItemInvoiceTracker!C:C,ItemInvoiceTracker!E:E,Data!A757)</f>
        <v>0</v>
      </c>
    </row>
    <row r="758" spans="1:2" x14ac:dyDescent="0.3">
      <c r="A758" s="38" t="str">
        <f>Lookup!A758</f>
        <v>A68</v>
      </c>
      <c r="B758" s="39">
        <f>SUMIFS(ItemInvoiceTracker!C:C,ItemInvoiceTracker!E:E,Data!A758)</f>
        <v>0</v>
      </c>
    </row>
    <row r="759" spans="1:2" x14ac:dyDescent="0.3">
      <c r="A759" s="38" t="str">
        <f>Lookup!A759</f>
        <v>A69</v>
      </c>
      <c r="B759" s="39">
        <f>SUMIFS(ItemInvoiceTracker!C:C,ItemInvoiceTracker!E:E,Data!A759)</f>
        <v>0</v>
      </c>
    </row>
    <row r="760" spans="1:2" x14ac:dyDescent="0.3">
      <c r="A760" s="38" t="str">
        <f>Lookup!A760</f>
        <v>A70</v>
      </c>
      <c r="B760" s="39">
        <f>SUMIFS(ItemInvoiceTracker!C:C,ItemInvoiceTracker!E:E,Data!A760)</f>
        <v>0</v>
      </c>
    </row>
    <row r="761" spans="1:2" x14ac:dyDescent="0.3">
      <c r="A761" s="38" t="str">
        <f>Lookup!A761</f>
        <v>A71</v>
      </c>
      <c r="B761" s="39">
        <f>SUMIFS(ItemInvoiceTracker!C:C,ItemInvoiceTracker!E:E,Data!A761)</f>
        <v>0</v>
      </c>
    </row>
    <row r="762" spans="1:2" x14ac:dyDescent="0.3">
      <c r="A762" s="38" t="str">
        <f>Lookup!A762</f>
        <v>A72</v>
      </c>
      <c r="B762" s="39">
        <f>SUMIFS(ItemInvoiceTracker!C:C,ItemInvoiceTracker!E:E,Data!A762)</f>
        <v>0</v>
      </c>
    </row>
    <row r="763" spans="1:2" x14ac:dyDescent="0.3">
      <c r="A763" s="38" t="str">
        <f>Lookup!A763</f>
        <v>A73</v>
      </c>
      <c r="B763" s="39">
        <f>SUMIFS(ItemInvoiceTracker!C:C,ItemInvoiceTracker!E:E,Data!A763)</f>
        <v>0</v>
      </c>
    </row>
    <row r="764" spans="1:2" x14ac:dyDescent="0.3">
      <c r="A764" s="38" t="str">
        <f>Lookup!A764</f>
        <v>A74</v>
      </c>
      <c r="B764" s="39">
        <f>SUMIFS(ItemInvoiceTracker!C:C,ItemInvoiceTracker!E:E,Data!A764)</f>
        <v>0</v>
      </c>
    </row>
    <row r="765" spans="1:2" x14ac:dyDescent="0.3">
      <c r="A765" s="38" t="str">
        <f>Lookup!A765</f>
        <v>A75</v>
      </c>
      <c r="B765" s="39">
        <f>SUMIFS(ItemInvoiceTracker!C:C,ItemInvoiceTracker!E:E,Data!A765)</f>
        <v>0</v>
      </c>
    </row>
    <row r="766" spans="1:2" x14ac:dyDescent="0.3">
      <c r="A766" s="38" t="str">
        <f>Lookup!A766</f>
        <v>A76</v>
      </c>
      <c r="B766" s="39">
        <f>SUMIFS(ItemInvoiceTracker!C:C,ItemInvoiceTracker!E:E,Data!A766)</f>
        <v>0</v>
      </c>
    </row>
    <row r="767" spans="1:2" x14ac:dyDescent="0.3">
      <c r="A767" s="38" t="str">
        <f>Lookup!A767</f>
        <v>A77</v>
      </c>
      <c r="B767" s="39">
        <f>SUMIFS(ItemInvoiceTracker!C:C,ItemInvoiceTracker!E:E,Data!A767)</f>
        <v>0</v>
      </c>
    </row>
    <row r="768" spans="1:2" x14ac:dyDescent="0.3">
      <c r="A768" s="38" t="str">
        <f>Lookup!A768</f>
        <v>A78</v>
      </c>
      <c r="B768" s="39">
        <f>SUMIFS(ItemInvoiceTracker!C:C,ItemInvoiceTracker!E:E,Data!A768)</f>
        <v>0</v>
      </c>
    </row>
    <row r="769" spans="1:2" x14ac:dyDescent="0.3">
      <c r="A769" s="38" t="str">
        <f>Lookup!A769</f>
        <v>A79</v>
      </c>
      <c r="B769" s="39">
        <f>SUMIFS(ItemInvoiceTracker!C:C,ItemInvoiceTracker!E:E,Data!A769)</f>
        <v>0</v>
      </c>
    </row>
    <row r="770" spans="1:2" x14ac:dyDescent="0.3">
      <c r="A770" s="38" t="str">
        <f>Lookup!A770</f>
        <v>A80</v>
      </c>
      <c r="B770" s="39">
        <f>SUMIFS(ItemInvoiceTracker!C:C,ItemInvoiceTracker!E:E,Data!A770)</f>
        <v>0</v>
      </c>
    </row>
    <row r="771" spans="1:2" x14ac:dyDescent="0.3">
      <c r="A771" s="38" t="str">
        <f>Lookup!A771</f>
        <v>A81</v>
      </c>
      <c r="B771" s="39">
        <f>SUMIFS(ItemInvoiceTracker!C:C,ItemInvoiceTracker!E:E,Data!A771)</f>
        <v>0</v>
      </c>
    </row>
    <row r="772" spans="1:2" x14ac:dyDescent="0.3">
      <c r="A772" s="38" t="str">
        <f>Lookup!A772</f>
        <v>A82</v>
      </c>
      <c r="B772" s="39">
        <f>SUMIFS(ItemInvoiceTracker!C:C,ItemInvoiceTracker!E:E,Data!A772)</f>
        <v>0</v>
      </c>
    </row>
    <row r="773" spans="1:2" x14ac:dyDescent="0.3">
      <c r="A773" s="38" t="str">
        <f>Lookup!A773</f>
        <v>A83</v>
      </c>
      <c r="B773" s="39">
        <f>SUMIFS(ItemInvoiceTracker!C:C,ItemInvoiceTracker!E:E,Data!A773)</f>
        <v>0</v>
      </c>
    </row>
    <row r="774" spans="1:2" x14ac:dyDescent="0.3">
      <c r="A774" s="38" t="str">
        <f>Lookup!A774</f>
        <v>A84</v>
      </c>
      <c r="B774" s="39">
        <f>SUMIFS(ItemInvoiceTracker!C:C,ItemInvoiceTracker!E:E,Data!A774)</f>
        <v>0</v>
      </c>
    </row>
    <row r="775" spans="1:2" x14ac:dyDescent="0.3">
      <c r="A775" s="38" t="str">
        <f>Lookup!A775</f>
        <v>A85</v>
      </c>
      <c r="B775" s="39">
        <f>SUMIFS(ItemInvoiceTracker!C:C,ItemInvoiceTracker!E:E,Data!A775)</f>
        <v>0</v>
      </c>
    </row>
    <row r="776" spans="1:2" x14ac:dyDescent="0.3">
      <c r="A776" s="38" t="str">
        <f>Lookup!A776</f>
        <v>A86</v>
      </c>
      <c r="B776" s="39">
        <f>SUMIFS(ItemInvoiceTracker!C:C,ItemInvoiceTracker!E:E,Data!A776)</f>
        <v>0</v>
      </c>
    </row>
    <row r="777" spans="1:2" x14ac:dyDescent="0.3">
      <c r="A777" s="38" t="str">
        <f>Lookup!A777</f>
        <v>A87</v>
      </c>
      <c r="B777" s="39">
        <f>SUMIFS(ItemInvoiceTracker!C:C,ItemInvoiceTracker!E:E,Data!A777)</f>
        <v>0</v>
      </c>
    </row>
    <row r="778" spans="1:2" x14ac:dyDescent="0.3">
      <c r="A778" s="38" t="str">
        <f>Lookup!A778</f>
        <v>A88</v>
      </c>
      <c r="B778" s="39">
        <f>SUMIFS(ItemInvoiceTracker!C:C,ItemInvoiceTracker!E:E,Data!A778)</f>
        <v>0</v>
      </c>
    </row>
    <row r="779" spans="1:2" x14ac:dyDescent="0.3">
      <c r="A779" s="38" t="str">
        <f>Lookup!A779</f>
        <v>A89</v>
      </c>
      <c r="B779" s="39">
        <f>SUMIFS(ItemInvoiceTracker!C:C,ItemInvoiceTracker!E:E,Data!A779)</f>
        <v>0</v>
      </c>
    </row>
    <row r="780" spans="1:2" x14ac:dyDescent="0.3">
      <c r="A780" s="38" t="str">
        <f>Lookup!A780</f>
        <v>A90</v>
      </c>
      <c r="B780" s="39">
        <f>SUMIFS(ItemInvoiceTracker!C:C,ItemInvoiceTracker!E:E,Data!A780)</f>
        <v>0</v>
      </c>
    </row>
    <row r="781" spans="1:2" x14ac:dyDescent="0.3">
      <c r="A781" s="38" t="str">
        <f>Lookup!A781</f>
        <v>A91</v>
      </c>
      <c r="B781" s="39">
        <f>SUMIFS(ItemInvoiceTracker!C:C,ItemInvoiceTracker!E:E,Data!A781)</f>
        <v>0</v>
      </c>
    </row>
    <row r="782" spans="1:2" x14ac:dyDescent="0.3">
      <c r="A782" s="38" t="str">
        <f>Lookup!A782</f>
        <v>A92</v>
      </c>
      <c r="B782" s="39">
        <f>SUMIFS(ItemInvoiceTracker!C:C,ItemInvoiceTracker!E:E,Data!A782)</f>
        <v>0</v>
      </c>
    </row>
    <row r="783" spans="1:2" x14ac:dyDescent="0.3">
      <c r="A783" s="38" t="str">
        <f>Lookup!A783</f>
        <v>A93</v>
      </c>
      <c r="B783" s="39">
        <f>SUMIFS(ItemInvoiceTracker!C:C,ItemInvoiceTracker!E:E,Data!A783)</f>
        <v>0</v>
      </c>
    </row>
    <row r="784" spans="1:2" x14ac:dyDescent="0.3">
      <c r="A784" s="38" t="str">
        <f>Lookup!A784</f>
        <v>A94</v>
      </c>
      <c r="B784" s="39">
        <f>SUMIFS(ItemInvoiceTracker!C:C,ItemInvoiceTracker!E:E,Data!A784)</f>
        <v>0</v>
      </c>
    </row>
    <row r="785" spans="1:2" x14ac:dyDescent="0.3">
      <c r="A785" s="38" t="str">
        <f>Lookup!A785</f>
        <v>A95</v>
      </c>
      <c r="B785" s="39">
        <f>SUMIFS(ItemInvoiceTracker!C:C,ItemInvoiceTracker!E:E,Data!A785)</f>
        <v>0</v>
      </c>
    </row>
    <row r="786" spans="1:2" x14ac:dyDescent="0.3">
      <c r="A786" s="38" t="str">
        <f>Lookup!A786</f>
        <v>A96</v>
      </c>
      <c r="B786" s="39">
        <f>SUMIFS(ItemInvoiceTracker!C:C,ItemInvoiceTracker!E:E,Data!A786)</f>
        <v>0</v>
      </c>
    </row>
    <row r="787" spans="1:2" x14ac:dyDescent="0.3">
      <c r="A787" s="38" t="str">
        <f>Lookup!A787</f>
        <v>A97</v>
      </c>
      <c r="B787" s="39">
        <f>SUMIFS(ItemInvoiceTracker!C:C,ItemInvoiceTracker!E:E,Data!A787)</f>
        <v>0</v>
      </c>
    </row>
    <row r="788" spans="1:2" x14ac:dyDescent="0.3">
      <c r="A788" s="38" t="str">
        <f>Lookup!A788</f>
        <v>A98</v>
      </c>
      <c r="B788" s="39">
        <f>SUMIFS(ItemInvoiceTracker!C:C,ItemInvoiceTracker!E:E,Data!A788)</f>
        <v>0</v>
      </c>
    </row>
    <row r="789" spans="1:2" x14ac:dyDescent="0.3">
      <c r="A789" s="38" t="str">
        <f>Lookup!A789</f>
        <v>A99</v>
      </c>
      <c r="B789" s="39">
        <f>SUMIFS(ItemInvoiceTracker!C:C,ItemInvoiceTracker!E:E,Data!A789)</f>
        <v>0</v>
      </c>
    </row>
    <row r="790" spans="1:2" x14ac:dyDescent="0.3">
      <c r="A790" s="38" t="str">
        <f>Lookup!A790</f>
        <v>A100</v>
      </c>
      <c r="B790" s="39">
        <f>SUMIFS(ItemInvoiceTracker!C:C,ItemInvoiceTracker!E:E,Data!A790)</f>
        <v>0</v>
      </c>
    </row>
    <row r="791" spans="1:2" x14ac:dyDescent="0.3">
      <c r="A791" s="38" t="str">
        <f>Lookup!A791</f>
        <v>A101</v>
      </c>
      <c r="B791" s="39">
        <f>SUMIFS(ItemInvoiceTracker!C:C,ItemInvoiceTracker!E:E,Data!A791)</f>
        <v>0</v>
      </c>
    </row>
    <row r="792" spans="1:2" x14ac:dyDescent="0.3">
      <c r="A792" s="38" t="str">
        <f>Lookup!A792</f>
        <v>A102</v>
      </c>
      <c r="B792" s="39">
        <f>SUMIFS(ItemInvoiceTracker!C:C,ItemInvoiceTracker!E:E,Data!A792)</f>
        <v>0</v>
      </c>
    </row>
    <row r="793" spans="1:2" x14ac:dyDescent="0.3">
      <c r="A793" s="38" t="str">
        <f>Lookup!A793</f>
        <v>A103</v>
      </c>
      <c r="B793" s="39">
        <f>SUMIFS(ItemInvoiceTracker!C:C,ItemInvoiceTracker!E:E,Data!A793)</f>
        <v>0</v>
      </c>
    </row>
    <row r="794" spans="1:2" x14ac:dyDescent="0.3">
      <c r="A794" s="38" t="str">
        <f>Lookup!A794</f>
        <v>A104</v>
      </c>
      <c r="B794" s="39">
        <f>SUMIFS(ItemInvoiceTracker!C:C,ItemInvoiceTracker!E:E,Data!A794)</f>
        <v>0</v>
      </c>
    </row>
    <row r="795" spans="1:2" x14ac:dyDescent="0.3">
      <c r="A795" s="38" t="str">
        <f>Lookup!A795</f>
        <v>A105</v>
      </c>
      <c r="B795" s="39">
        <f>SUMIFS(ItemInvoiceTracker!C:C,ItemInvoiceTracker!E:E,Data!A795)</f>
        <v>0</v>
      </c>
    </row>
    <row r="796" spans="1:2" x14ac:dyDescent="0.3">
      <c r="A796" s="38" t="str">
        <f>Lookup!A796</f>
        <v>A106</v>
      </c>
      <c r="B796" s="39">
        <f>SUMIFS(ItemInvoiceTracker!C:C,ItemInvoiceTracker!E:E,Data!A796)</f>
        <v>0</v>
      </c>
    </row>
    <row r="797" spans="1:2" x14ac:dyDescent="0.3">
      <c r="A797" s="38" t="str">
        <f>Lookup!A797</f>
        <v>A107</v>
      </c>
      <c r="B797" s="39">
        <f>SUMIFS(ItemInvoiceTracker!C:C,ItemInvoiceTracker!E:E,Data!A797)</f>
        <v>0</v>
      </c>
    </row>
    <row r="798" spans="1:2" x14ac:dyDescent="0.3">
      <c r="A798" s="38" t="str">
        <f>Lookup!A798</f>
        <v>A108</v>
      </c>
      <c r="B798" s="39">
        <f>SUMIFS(ItemInvoiceTracker!C:C,ItemInvoiceTracker!E:E,Data!A798)</f>
        <v>0</v>
      </c>
    </row>
    <row r="799" spans="1:2" x14ac:dyDescent="0.3">
      <c r="A799" s="38" t="str">
        <f>Lookup!A799</f>
        <v>A109</v>
      </c>
      <c r="B799" s="39">
        <f>SUMIFS(ItemInvoiceTracker!C:C,ItemInvoiceTracker!E:E,Data!A799)</f>
        <v>0</v>
      </c>
    </row>
    <row r="800" spans="1:2" x14ac:dyDescent="0.3">
      <c r="A800" s="38" t="str">
        <f>Lookup!A800</f>
        <v>A110</v>
      </c>
      <c r="B800" s="39">
        <f>SUMIFS(ItemInvoiceTracker!C:C,ItemInvoiceTracker!E:E,Data!A800)</f>
        <v>0</v>
      </c>
    </row>
    <row r="801" spans="1:2" x14ac:dyDescent="0.3">
      <c r="A801" s="38" t="str">
        <f>Lookup!A801</f>
        <v>A111</v>
      </c>
      <c r="B801" s="39">
        <f>SUMIFS(ItemInvoiceTracker!C:C,ItemInvoiceTracker!E:E,Data!A801)</f>
        <v>0</v>
      </c>
    </row>
    <row r="802" spans="1:2" x14ac:dyDescent="0.3">
      <c r="A802" s="38" t="str">
        <f>Lookup!A802</f>
        <v>A112</v>
      </c>
      <c r="B802" s="39">
        <f>SUMIFS(ItemInvoiceTracker!C:C,ItemInvoiceTracker!E:E,Data!A802)</f>
        <v>0</v>
      </c>
    </row>
    <row r="803" spans="1:2" x14ac:dyDescent="0.3">
      <c r="A803" s="38" t="str">
        <f>Lookup!A803</f>
        <v>A113</v>
      </c>
      <c r="B803" s="39">
        <f>SUMIFS(ItemInvoiceTracker!C:C,ItemInvoiceTracker!E:E,Data!A803)</f>
        <v>0</v>
      </c>
    </row>
    <row r="804" spans="1:2" x14ac:dyDescent="0.3">
      <c r="A804" s="38" t="str">
        <f>Lookup!A804</f>
        <v>A114</v>
      </c>
      <c r="B804" s="39">
        <f>SUMIFS(ItemInvoiceTracker!C:C,ItemInvoiceTracker!E:E,Data!A804)</f>
        <v>0</v>
      </c>
    </row>
    <row r="805" spans="1:2" x14ac:dyDescent="0.3">
      <c r="A805" s="38" t="str">
        <f>Lookup!A805</f>
        <v>A115</v>
      </c>
      <c r="B805" s="39">
        <f>SUMIFS(ItemInvoiceTracker!C:C,ItemInvoiceTracker!E:E,Data!A805)</f>
        <v>0</v>
      </c>
    </row>
    <row r="806" spans="1:2" x14ac:dyDescent="0.3">
      <c r="A806" s="38" t="str">
        <f>Lookup!A806</f>
        <v>A116</v>
      </c>
      <c r="B806" s="39">
        <f>SUMIFS(ItemInvoiceTracker!C:C,ItemInvoiceTracker!E:E,Data!A806)</f>
        <v>0</v>
      </c>
    </row>
    <row r="807" spans="1:2" x14ac:dyDescent="0.3">
      <c r="A807" s="38" t="str">
        <f>Lookup!A807</f>
        <v>A117</v>
      </c>
      <c r="B807" s="39">
        <f>SUMIFS(ItemInvoiceTracker!C:C,ItemInvoiceTracker!E:E,Data!A807)</f>
        <v>0</v>
      </c>
    </row>
    <row r="808" spans="1:2" x14ac:dyDescent="0.3">
      <c r="A808" s="38" t="str">
        <f>Lookup!A808</f>
        <v>A118</v>
      </c>
      <c r="B808" s="39">
        <f>SUMIFS(ItemInvoiceTracker!C:C,ItemInvoiceTracker!E:E,Data!A808)</f>
        <v>0</v>
      </c>
    </row>
    <row r="809" spans="1:2" x14ac:dyDescent="0.3">
      <c r="A809" s="38" t="str">
        <f>Lookup!A809</f>
        <v>A119</v>
      </c>
      <c r="B809" s="39">
        <f>SUMIFS(ItemInvoiceTracker!C:C,ItemInvoiceTracker!E:E,Data!A809)</f>
        <v>0</v>
      </c>
    </row>
    <row r="810" spans="1:2" x14ac:dyDescent="0.3">
      <c r="A810" s="38" t="str">
        <f>Lookup!A810</f>
        <v>A120</v>
      </c>
      <c r="B810" s="39">
        <f>SUMIFS(ItemInvoiceTracker!C:C,ItemInvoiceTracker!E:E,Data!A810)</f>
        <v>0</v>
      </c>
    </row>
    <row r="811" spans="1:2" x14ac:dyDescent="0.3">
      <c r="A811" s="38" t="str">
        <f>Lookup!A811</f>
        <v>A121</v>
      </c>
      <c r="B811" s="39">
        <f>SUMIFS(ItemInvoiceTracker!C:C,ItemInvoiceTracker!E:E,Data!A811)</f>
        <v>0</v>
      </c>
    </row>
    <row r="812" spans="1:2" x14ac:dyDescent="0.3">
      <c r="A812" s="38" t="str">
        <f>Lookup!A812</f>
        <v>A122</v>
      </c>
      <c r="B812" s="39">
        <f>SUMIFS(ItemInvoiceTracker!C:C,ItemInvoiceTracker!E:E,Data!A812)</f>
        <v>0</v>
      </c>
    </row>
    <row r="813" spans="1:2" x14ac:dyDescent="0.3">
      <c r="A813" s="38" t="str">
        <f>Lookup!A813</f>
        <v>A123</v>
      </c>
      <c r="B813" s="39">
        <f>SUMIFS(ItemInvoiceTracker!C:C,ItemInvoiceTracker!E:E,Data!A813)</f>
        <v>0</v>
      </c>
    </row>
    <row r="814" spans="1:2" x14ac:dyDescent="0.3">
      <c r="A814" s="38" t="str">
        <f>Lookup!A814</f>
        <v>A124</v>
      </c>
      <c r="B814" s="39">
        <f>SUMIFS(ItemInvoiceTracker!C:C,ItemInvoiceTracker!E:E,Data!A814)</f>
        <v>0</v>
      </c>
    </row>
    <row r="815" spans="1:2" x14ac:dyDescent="0.3">
      <c r="A815" s="38" t="str">
        <f>Lookup!A815</f>
        <v>A125</v>
      </c>
      <c r="B815" s="39">
        <f>SUMIFS(ItemInvoiceTracker!C:C,ItemInvoiceTracker!E:E,Data!A815)</f>
        <v>0</v>
      </c>
    </row>
    <row r="816" spans="1:2" x14ac:dyDescent="0.3">
      <c r="A816" s="38" t="str">
        <f>Lookup!A816</f>
        <v>A126</v>
      </c>
      <c r="B816" s="39">
        <f>SUMIFS(ItemInvoiceTracker!C:C,ItemInvoiceTracker!E:E,Data!A816)</f>
        <v>0</v>
      </c>
    </row>
    <row r="817" spans="1:2" x14ac:dyDescent="0.3">
      <c r="A817" s="38" t="str">
        <f>Lookup!A817</f>
        <v>A127</v>
      </c>
      <c r="B817" s="39">
        <f>SUMIFS(ItemInvoiceTracker!C:C,ItemInvoiceTracker!E:E,Data!A817)</f>
        <v>0</v>
      </c>
    </row>
    <row r="818" spans="1:2" x14ac:dyDescent="0.3">
      <c r="A818" s="38" t="str">
        <f>Lookup!A818</f>
        <v>A128</v>
      </c>
      <c r="B818" s="39">
        <f>SUMIFS(ItemInvoiceTracker!C:C,ItemInvoiceTracker!E:E,Data!A818)</f>
        <v>0</v>
      </c>
    </row>
    <row r="819" spans="1:2" x14ac:dyDescent="0.3">
      <c r="A819" s="38" t="str">
        <f>Lookup!A819</f>
        <v>A129</v>
      </c>
      <c r="B819" s="39">
        <f>SUMIFS(ItemInvoiceTracker!C:C,ItemInvoiceTracker!E:E,Data!A819)</f>
        <v>0</v>
      </c>
    </row>
    <row r="820" spans="1:2" x14ac:dyDescent="0.3">
      <c r="A820" s="38" t="str">
        <f>Lookup!A820</f>
        <v>A130</v>
      </c>
      <c r="B820" s="39">
        <f>SUMIFS(ItemInvoiceTracker!C:C,ItemInvoiceTracker!E:E,Data!A820)</f>
        <v>0</v>
      </c>
    </row>
    <row r="821" spans="1:2" x14ac:dyDescent="0.3">
      <c r="A821" s="38" t="str">
        <f>Lookup!A821</f>
        <v>A131</v>
      </c>
      <c r="B821" s="39">
        <f>SUMIFS(ItemInvoiceTracker!C:C,ItemInvoiceTracker!E:E,Data!A821)</f>
        <v>0</v>
      </c>
    </row>
    <row r="822" spans="1:2" x14ac:dyDescent="0.3">
      <c r="A822" s="38" t="str">
        <f>Lookup!A822</f>
        <v>A132</v>
      </c>
      <c r="B822" s="39">
        <f>SUMIFS(ItemInvoiceTracker!C:C,ItemInvoiceTracker!E:E,Data!A822)</f>
        <v>0</v>
      </c>
    </row>
    <row r="823" spans="1:2" x14ac:dyDescent="0.3">
      <c r="A823" s="38" t="str">
        <f>Lookup!A823</f>
        <v>A133</v>
      </c>
      <c r="B823" s="39">
        <f>SUMIFS(ItemInvoiceTracker!C:C,ItemInvoiceTracker!E:E,Data!A823)</f>
        <v>0</v>
      </c>
    </row>
    <row r="824" spans="1:2" x14ac:dyDescent="0.3">
      <c r="A824" s="38" t="str">
        <f>Lookup!A824</f>
        <v>A134</v>
      </c>
      <c r="B824" s="39">
        <f>SUMIFS(ItemInvoiceTracker!C:C,ItemInvoiceTracker!E:E,Data!A824)</f>
        <v>0</v>
      </c>
    </row>
    <row r="825" spans="1:2" x14ac:dyDescent="0.3">
      <c r="A825" s="38" t="str">
        <f>Lookup!A825</f>
        <v>A135</v>
      </c>
      <c r="B825" s="39">
        <f>SUMIFS(ItemInvoiceTracker!C:C,ItemInvoiceTracker!E:E,Data!A825)</f>
        <v>0</v>
      </c>
    </row>
    <row r="826" spans="1:2" x14ac:dyDescent="0.3">
      <c r="A826" s="38" t="str">
        <f>Lookup!A826</f>
        <v>A136</v>
      </c>
      <c r="B826" s="39">
        <f>SUMIFS(ItemInvoiceTracker!C:C,ItemInvoiceTracker!E:E,Data!A826)</f>
        <v>0</v>
      </c>
    </row>
    <row r="827" spans="1:2" x14ac:dyDescent="0.3">
      <c r="A827" s="38" t="str">
        <f>Lookup!A827</f>
        <v>A137</v>
      </c>
      <c r="B827" s="39">
        <f>SUMIFS(ItemInvoiceTracker!C:C,ItemInvoiceTracker!E:E,Data!A827)</f>
        <v>0</v>
      </c>
    </row>
    <row r="828" spans="1:2" x14ac:dyDescent="0.3">
      <c r="A828" s="38" t="str">
        <f>Lookup!A828</f>
        <v>A138</v>
      </c>
      <c r="B828" s="39">
        <f>SUMIFS(ItemInvoiceTracker!C:C,ItemInvoiceTracker!E:E,Data!A828)</f>
        <v>0</v>
      </c>
    </row>
    <row r="829" spans="1:2" x14ac:dyDescent="0.3">
      <c r="A829" s="38" t="str">
        <f>Lookup!A829</f>
        <v>A139</v>
      </c>
      <c r="B829" s="39">
        <f>SUMIFS(ItemInvoiceTracker!C:C,ItemInvoiceTracker!E:E,Data!A829)</f>
        <v>0</v>
      </c>
    </row>
    <row r="830" spans="1:2" x14ac:dyDescent="0.3">
      <c r="A830" s="38" t="str">
        <f>Lookup!A830</f>
        <v>A140</v>
      </c>
      <c r="B830" s="39">
        <f>SUMIFS(ItemInvoiceTracker!C:C,ItemInvoiceTracker!E:E,Data!A830)</f>
        <v>0</v>
      </c>
    </row>
    <row r="831" spans="1:2" x14ac:dyDescent="0.3">
      <c r="A831" s="38" t="str">
        <f>Lookup!A831</f>
        <v>A141</v>
      </c>
      <c r="B831" s="39">
        <f>SUMIFS(ItemInvoiceTracker!C:C,ItemInvoiceTracker!E:E,Data!A831)</f>
        <v>0</v>
      </c>
    </row>
    <row r="832" spans="1:2" x14ac:dyDescent="0.3">
      <c r="A832" s="38" t="str">
        <f>Lookup!A832</f>
        <v>A142</v>
      </c>
      <c r="B832" s="39">
        <f>SUMIFS(ItemInvoiceTracker!C:C,ItemInvoiceTracker!E:E,Data!A832)</f>
        <v>0</v>
      </c>
    </row>
    <row r="833" spans="1:2" x14ac:dyDescent="0.3">
      <c r="A833" s="38" t="str">
        <f>Lookup!A833</f>
        <v>A143</v>
      </c>
      <c r="B833" s="39">
        <f>SUMIFS(ItemInvoiceTracker!C:C,ItemInvoiceTracker!E:E,Data!A833)</f>
        <v>0</v>
      </c>
    </row>
    <row r="834" spans="1:2" x14ac:dyDescent="0.3">
      <c r="A834" s="38" t="str">
        <f>Lookup!A834</f>
        <v>A144</v>
      </c>
      <c r="B834" s="39">
        <f>SUMIFS(ItemInvoiceTracker!C:C,ItemInvoiceTracker!E:E,Data!A834)</f>
        <v>0</v>
      </c>
    </row>
    <row r="835" spans="1:2" x14ac:dyDescent="0.3">
      <c r="A835" s="38" t="str">
        <f>Lookup!A835</f>
        <v>A145</v>
      </c>
      <c r="B835" s="39">
        <f>SUMIFS(ItemInvoiceTracker!C:C,ItemInvoiceTracker!E:E,Data!A835)</f>
        <v>0</v>
      </c>
    </row>
    <row r="836" spans="1:2" x14ac:dyDescent="0.3">
      <c r="A836" s="38" t="str">
        <f>Lookup!A836</f>
        <v>A146</v>
      </c>
      <c r="B836" s="39">
        <f>SUMIFS(ItemInvoiceTracker!C:C,ItemInvoiceTracker!E:E,Data!A836)</f>
        <v>0</v>
      </c>
    </row>
    <row r="837" spans="1:2" x14ac:dyDescent="0.3">
      <c r="A837" s="38" t="str">
        <f>Lookup!A837</f>
        <v>A147</v>
      </c>
      <c r="B837" s="39">
        <f>SUMIFS(ItemInvoiceTracker!C:C,ItemInvoiceTracker!E:E,Data!A837)</f>
        <v>0</v>
      </c>
    </row>
    <row r="838" spans="1:2" x14ac:dyDescent="0.3">
      <c r="A838" s="38" t="str">
        <f>Lookup!A838</f>
        <v>A148</v>
      </c>
      <c r="B838" s="39">
        <f>SUMIFS(ItemInvoiceTracker!C:C,ItemInvoiceTracker!E:E,Data!A838)</f>
        <v>0</v>
      </c>
    </row>
    <row r="839" spans="1:2" x14ac:dyDescent="0.3">
      <c r="A839" s="38" t="str">
        <f>Lookup!A839</f>
        <v>A149</v>
      </c>
      <c r="B839" s="39">
        <f>SUMIFS(ItemInvoiceTracker!C:C,ItemInvoiceTracker!E:E,Data!A839)</f>
        <v>0</v>
      </c>
    </row>
    <row r="840" spans="1:2" x14ac:dyDescent="0.3">
      <c r="A840" s="38" t="str">
        <f>Lookup!A840</f>
        <v>A150</v>
      </c>
      <c r="B840" s="39">
        <f>SUMIFS(ItemInvoiceTracker!C:C,ItemInvoiceTracker!E:E,Data!A840)</f>
        <v>0</v>
      </c>
    </row>
    <row r="841" spans="1:2" x14ac:dyDescent="0.3">
      <c r="A841" s="38" t="str">
        <f>Lookup!A841</f>
        <v>A151</v>
      </c>
      <c r="B841" s="39">
        <f>SUMIFS(ItemInvoiceTracker!C:C,ItemInvoiceTracker!E:E,Data!A841)</f>
        <v>0</v>
      </c>
    </row>
    <row r="842" spans="1:2" x14ac:dyDescent="0.3">
      <c r="A842" s="38" t="str">
        <f>Lookup!A842</f>
        <v>A152</v>
      </c>
      <c r="B842" s="39">
        <f>SUMIFS(ItemInvoiceTracker!C:C,ItemInvoiceTracker!E:E,Data!A842)</f>
        <v>0</v>
      </c>
    </row>
    <row r="843" spans="1:2" x14ac:dyDescent="0.3">
      <c r="A843" s="38" t="str">
        <f>Lookup!A843</f>
        <v>A153</v>
      </c>
      <c r="B843" s="39">
        <f>SUMIFS(ItemInvoiceTracker!C:C,ItemInvoiceTracker!E:E,Data!A843)</f>
        <v>0</v>
      </c>
    </row>
    <row r="844" spans="1:2" x14ac:dyDescent="0.3">
      <c r="A844" s="38" t="str">
        <f>Lookup!A844</f>
        <v>A154</v>
      </c>
      <c r="B844" s="39">
        <f>SUMIFS(ItemInvoiceTracker!C:C,ItemInvoiceTracker!E:E,Data!A844)</f>
        <v>0</v>
      </c>
    </row>
    <row r="845" spans="1:2" x14ac:dyDescent="0.3">
      <c r="A845" s="38" t="str">
        <f>Lookup!A845</f>
        <v>A155</v>
      </c>
      <c r="B845" s="39">
        <f>SUMIFS(ItemInvoiceTracker!C:C,ItemInvoiceTracker!E:E,Data!A845)</f>
        <v>0</v>
      </c>
    </row>
    <row r="846" spans="1:2" x14ac:dyDescent="0.3">
      <c r="A846" s="38" t="str">
        <f>Lookup!A846</f>
        <v>A156</v>
      </c>
      <c r="B846" s="39">
        <f>SUMIFS(ItemInvoiceTracker!C:C,ItemInvoiceTracker!E:E,Data!A846)</f>
        <v>0</v>
      </c>
    </row>
    <row r="847" spans="1:2" x14ac:dyDescent="0.3">
      <c r="A847" s="38" t="str">
        <f>Lookup!A847</f>
        <v>A157</v>
      </c>
      <c r="B847" s="39">
        <f>SUMIFS(ItemInvoiceTracker!C:C,ItemInvoiceTracker!E:E,Data!A847)</f>
        <v>0</v>
      </c>
    </row>
    <row r="848" spans="1:2" x14ac:dyDescent="0.3">
      <c r="A848" s="38" t="str">
        <f>Lookup!A848</f>
        <v>A158</v>
      </c>
      <c r="B848" s="39">
        <f>SUMIFS(ItemInvoiceTracker!C:C,ItemInvoiceTracker!E:E,Data!A848)</f>
        <v>0</v>
      </c>
    </row>
    <row r="849" spans="1:2" x14ac:dyDescent="0.3">
      <c r="A849" s="38" t="str">
        <f>Lookup!A849</f>
        <v>A159</v>
      </c>
      <c r="B849" s="39">
        <f>SUMIFS(ItemInvoiceTracker!C:C,ItemInvoiceTracker!E:E,Data!A849)</f>
        <v>0</v>
      </c>
    </row>
    <row r="850" spans="1:2" x14ac:dyDescent="0.3">
      <c r="A850" s="38" t="str">
        <f>Lookup!A850</f>
        <v>A160</v>
      </c>
      <c r="B850" s="39">
        <f>SUMIFS(ItemInvoiceTracker!C:C,ItemInvoiceTracker!E:E,Data!A850)</f>
        <v>0</v>
      </c>
    </row>
    <row r="851" spans="1:2" x14ac:dyDescent="0.3">
      <c r="A851" s="38" t="str">
        <f>Lookup!A851</f>
        <v>A161</v>
      </c>
      <c r="B851" s="39">
        <f>SUMIFS(ItemInvoiceTracker!C:C,ItemInvoiceTracker!E:E,Data!A851)</f>
        <v>0</v>
      </c>
    </row>
    <row r="852" spans="1:2" x14ac:dyDescent="0.3">
      <c r="A852" s="38" t="str">
        <f>Lookup!A852</f>
        <v>A162</v>
      </c>
      <c r="B852" s="39">
        <f>SUMIFS(ItemInvoiceTracker!C:C,ItemInvoiceTracker!E:E,Data!A852)</f>
        <v>0</v>
      </c>
    </row>
    <row r="853" spans="1:2" x14ac:dyDescent="0.3">
      <c r="A853" s="38" t="str">
        <f>Lookup!A853</f>
        <v>A163</v>
      </c>
      <c r="B853" s="39">
        <f>SUMIFS(ItemInvoiceTracker!C:C,ItemInvoiceTracker!E:E,Data!A853)</f>
        <v>0</v>
      </c>
    </row>
    <row r="854" spans="1:2" x14ac:dyDescent="0.3">
      <c r="A854" s="38" t="str">
        <f>Lookup!A854</f>
        <v>A164</v>
      </c>
      <c r="B854" s="39">
        <f>SUMIFS(ItemInvoiceTracker!C:C,ItemInvoiceTracker!E:E,Data!A854)</f>
        <v>0</v>
      </c>
    </row>
    <row r="855" spans="1:2" x14ac:dyDescent="0.3">
      <c r="A855" s="38" t="str">
        <f>Lookup!A855</f>
        <v>A165</v>
      </c>
      <c r="B855" s="39">
        <f>SUMIFS(ItemInvoiceTracker!C:C,ItemInvoiceTracker!E:E,Data!A855)</f>
        <v>0</v>
      </c>
    </row>
    <row r="856" spans="1:2" x14ac:dyDescent="0.3">
      <c r="A856" s="38" t="str">
        <f>Lookup!A856</f>
        <v>A166</v>
      </c>
      <c r="B856" s="39">
        <f>SUMIFS(ItemInvoiceTracker!C:C,ItemInvoiceTracker!E:E,Data!A856)</f>
        <v>0</v>
      </c>
    </row>
    <row r="857" spans="1:2" x14ac:dyDescent="0.3">
      <c r="A857" s="38" t="str">
        <f>Lookup!A857</f>
        <v>A167</v>
      </c>
      <c r="B857" s="39">
        <f>SUMIFS(ItemInvoiceTracker!C:C,ItemInvoiceTracker!E:E,Data!A857)</f>
        <v>0</v>
      </c>
    </row>
    <row r="858" spans="1:2" x14ac:dyDescent="0.3">
      <c r="A858" s="38" t="str">
        <f>Lookup!A858</f>
        <v>A168</v>
      </c>
      <c r="B858" s="39">
        <f>SUMIFS(ItemInvoiceTracker!C:C,ItemInvoiceTracker!E:E,Data!A858)</f>
        <v>0</v>
      </c>
    </row>
    <row r="859" spans="1:2" x14ac:dyDescent="0.3">
      <c r="A859" s="38" t="str">
        <f>Lookup!A859</f>
        <v>A169</v>
      </c>
      <c r="B859" s="39">
        <f>SUMIFS(ItemInvoiceTracker!C:C,ItemInvoiceTracker!E:E,Data!A859)</f>
        <v>0</v>
      </c>
    </row>
    <row r="860" spans="1:2" x14ac:dyDescent="0.3">
      <c r="A860" s="38" t="str">
        <f>Lookup!A860</f>
        <v>A170</v>
      </c>
      <c r="B860" s="39">
        <f>SUMIFS(ItemInvoiceTracker!C:C,ItemInvoiceTracker!E:E,Data!A860)</f>
        <v>0</v>
      </c>
    </row>
    <row r="861" spans="1:2" x14ac:dyDescent="0.3">
      <c r="A861" s="38" t="str">
        <f>Lookup!A861</f>
        <v>A171</v>
      </c>
      <c r="B861" s="39">
        <f>SUMIFS(ItemInvoiceTracker!C:C,ItemInvoiceTracker!E:E,Data!A861)</f>
        <v>0</v>
      </c>
    </row>
    <row r="862" spans="1:2" x14ac:dyDescent="0.3">
      <c r="A862" s="38" t="str">
        <f>Lookup!A862</f>
        <v>A172</v>
      </c>
      <c r="B862" s="39">
        <f>SUMIFS(ItemInvoiceTracker!C:C,ItemInvoiceTracker!E:E,Data!A862)</f>
        <v>0</v>
      </c>
    </row>
    <row r="863" spans="1:2" x14ac:dyDescent="0.3">
      <c r="A863" s="38" t="str">
        <f>Lookup!A863</f>
        <v>A173</v>
      </c>
      <c r="B863" s="39">
        <f>SUMIFS(ItemInvoiceTracker!C:C,ItemInvoiceTracker!E:E,Data!A863)</f>
        <v>0</v>
      </c>
    </row>
    <row r="864" spans="1:2" x14ac:dyDescent="0.3">
      <c r="A864" s="38" t="str">
        <f>Lookup!A864</f>
        <v>A174</v>
      </c>
      <c r="B864" s="39">
        <f>SUMIFS(ItemInvoiceTracker!C:C,ItemInvoiceTracker!E:E,Data!A864)</f>
        <v>0</v>
      </c>
    </row>
    <row r="865" spans="1:2" x14ac:dyDescent="0.3">
      <c r="A865" s="38" t="str">
        <f>Lookup!A865</f>
        <v>A175</v>
      </c>
      <c r="B865" s="39">
        <f>SUMIFS(ItemInvoiceTracker!C:C,ItemInvoiceTracker!E:E,Data!A865)</f>
        <v>0</v>
      </c>
    </row>
    <row r="866" spans="1:2" x14ac:dyDescent="0.3">
      <c r="A866" s="38" t="str">
        <f>Lookup!A866</f>
        <v>A176</v>
      </c>
      <c r="B866" s="39">
        <f>SUMIFS(ItemInvoiceTracker!C:C,ItemInvoiceTracker!E:E,Data!A866)</f>
        <v>0</v>
      </c>
    </row>
    <row r="867" spans="1:2" x14ac:dyDescent="0.3">
      <c r="A867" s="38" t="str">
        <f>Lookup!A867</f>
        <v>A177</v>
      </c>
      <c r="B867" s="39">
        <f>SUMIFS(ItemInvoiceTracker!C:C,ItemInvoiceTracker!E:E,Data!A867)</f>
        <v>0</v>
      </c>
    </row>
    <row r="868" spans="1:2" x14ac:dyDescent="0.3">
      <c r="A868" s="38" t="str">
        <f>Lookup!A868</f>
        <v>A178</v>
      </c>
      <c r="B868" s="39">
        <f>SUMIFS(ItemInvoiceTracker!C:C,ItemInvoiceTracker!E:E,Data!A868)</f>
        <v>0</v>
      </c>
    </row>
    <row r="869" spans="1:2" x14ac:dyDescent="0.3">
      <c r="A869" s="38" t="str">
        <f>Lookup!A869</f>
        <v>A179</v>
      </c>
      <c r="B869" s="39">
        <f>SUMIFS(ItemInvoiceTracker!C:C,ItemInvoiceTracker!E:E,Data!A869)</f>
        <v>0</v>
      </c>
    </row>
    <row r="870" spans="1:2" x14ac:dyDescent="0.3">
      <c r="A870" s="38" t="str">
        <f>Lookup!A870</f>
        <v>A180</v>
      </c>
      <c r="B870" s="39">
        <f>SUMIFS(ItemInvoiceTracker!C:C,ItemInvoiceTracker!E:E,Data!A870)</f>
        <v>0</v>
      </c>
    </row>
    <row r="871" spans="1:2" x14ac:dyDescent="0.3">
      <c r="A871" s="38" t="str">
        <f>Lookup!A871</f>
        <v>A181</v>
      </c>
      <c r="B871" s="39">
        <f>SUMIFS(ItemInvoiceTracker!C:C,ItemInvoiceTracker!E:E,Data!A871)</f>
        <v>0</v>
      </c>
    </row>
    <row r="872" spans="1:2" x14ac:dyDescent="0.3">
      <c r="A872" s="38" t="str">
        <f>Lookup!A872</f>
        <v>A182</v>
      </c>
      <c r="B872" s="39">
        <f>SUMIFS(ItemInvoiceTracker!C:C,ItemInvoiceTracker!E:E,Data!A872)</f>
        <v>0</v>
      </c>
    </row>
    <row r="873" spans="1:2" x14ac:dyDescent="0.3">
      <c r="A873" s="38" t="str">
        <f>Lookup!A873</f>
        <v>A183</v>
      </c>
      <c r="B873" s="39">
        <f>SUMIFS(ItemInvoiceTracker!C:C,ItemInvoiceTracker!E:E,Data!A873)</f>
        <v>0</v>
      </c>
    </row>
    <row r="874" spans="1:2" x14ac:dyDescent="0.3">
      <c r="A874" s="38" t="str">
        <f>Lookup!A874</f>
        <v>A184</v>
      </c>
      <c r="B874" s="39">
        <f>SUMIFS(ItemInvoiceTracker!C:C,ItemInvoiceTracker!E:E,Data!A874)</f>
        <v>0</v>
      </c>
    </row>
    <row r="875" spans="1:2" x14ac:dyDescent="0.3">
      <c r="A875" s="38" t="str">
        <f>Lookup!A875</f>
        <v>A185</v>
      </c>
      <c r="B875" s="39">
        <f>SUMIFS(ItemInvoiceTracker!C:C,ItemInvoiceTracker!E:E,Data!A875)</f>
        <v>0</v>
      </c>
    </row>
    <row r="876" spans="1:2" x14ac:dyDescent="0.3">
      <c r="A876" s="38" t="str">
        <f>Lookup!A876</f>
        <v>A186</v>
      </c>
      <c r="B876" s="39">
        <f>SUMIFS(ItemInvoiceTracker!C:C,ItemInvoiceTracker!E:E,Data!A876)</f>
        <v>0</v>
      </c>
    </row>
    <row r="877" spans="1:2" x14ac:dyDescent="0.3">
      <c r="A877" s="38" t="str">
        <f>Lookup!A877</f>
        <v>A187</v>
      </c>
      <c r="B877" s="39">
        <f>SUMIFS(ItemInvoiceTracker!C:C,ItemInvoiceTracker!E:E,Data!A877)</f>
        <v>0</v>
      </c>
    </row>
    <row r="878" spans="1:2" x14ac:dyDescent="0.3">
      <c r="A878" s="38" t="str">
        <f>Lookup!A878</f>
        <v>A188</v>
      </c>
      <c r="B878" s="39">
        <f>SUMIFS(ItemInvoiceTracker!C:C,ItemInvoiceTracker!E:E,Data!A878)</f>
        <v>0</v>
      </c>
    </row>
    <row r="879" spans="1:2" x14ac:dyDescent="0.3">
      <c r="A879" s="38" t="str">
        <f>Lookup!A879</f>
        <v>A189</v>
      </c>
      <c r="B879" s="39">
        <f>SUMIFS(ItemInvoiceTracker!C:C,ItemInvoiceTracker!E:E,Data!A879)</f>
        <v>0</v>
      </c>
    </row>
    <row r="880" spans="1:2" x14ac:dyDescent="0.3">
      <c r="A880" s="38" t="str">
        <f>Lookup!A880</f>
        <v>A190</v>
      </c>
      <c r="B880" s="39">
        <f>SUMIFS(ItemInvoiceTracker!C:C,ItemInvoiceTracker!E:E,Data!A880)</f>
        <v>0</v>
      </c>
    </row>
    <row r="881" spans="1:2" x14ac:dyDescent="0.3">
      <c r="A881" s="38" t="str">
        <f>Lookup!A881</f>
        <v>A191</v>
      </c>
      <c r="B881" s="39">
        <f>SUMIFS(ItemInvoiceTracker!C:C,ItemInvoiceTracker!E:E,Data!A881)</f>
        <v>0</v>
      </c>
    </row>
    <row r="882" spans="1:2" x14ac:dyDescent="0.3">
      <c r="A882" s="38" t="str">
        <f>Lookup!A882</f>
        <v>A192</v>
      </c>
      <c r="B882" s="39">
        <f>SUMIFS(ItemInvoiceTracker!C:C,ItemInvoiceTracker!E:E,Data!A882)</f>
        <v>0</v>
      </c>
    </row>
    <row r="883" spans="1:2" x14ac:dyDescent="0.3">
      <c r="A883" s="38" t="str">
        <f>Lookup!A883</f>
        <v>A193</v>
      </c>
      <c r="B883" s="39">
        <f>SUMIFS(ItemInvoiceTracker!C:C,ItemInvoiceTracker!E:E,Data!A883)</f>
        <v>0</v>
      </c>
    </row>
    <row r="884" spans="1:2" x14ac:dyDescent="0.3">
      <c r="A884" s="38" t="str">
        <f>Lookup!A884</f>
        <v>A194</v>
      </c>
      <c r="B884" s="39">
        <f>SUMIFS(ItemInvoiceTracker!C:C,ItemInvoiceTracker!E:E,Data!A884)</f>
        <v>0</v>
      </c>
    </row>
    <row r="885" spans="1:2" x14ac:dyDescent="0.3">
      <c r="A885" s="38" t="str">
        <f>Lookup!A885</f>
        <v>A195</v>
      </c>
      <c r="B885" s="39">
        <f>SUMIFS(ItemInvoiceTracker!C:C,ItemInvoiceTracker!E:E,Data!A885)</f>
        <v>0</v>
      </c>
    </row>
    <row r="886" spans="1:2" x14ac:dyDescent="0.3">
      <c r="A886" s="38" t="str">
        <f>Lookup!A886</f>
        <v>A196</v>
      </c>
      <c r="B886" s="39">
        <f>SUMIFS(ItemInvoiceTracker!C:C,ItemInvoiceTracker!E:E,Data!A886)</f>
        <v>0</v>
      </c>
    </row>
    <row r="887" spans="1:2" x14ac:dyDescent="0.3">
      <c r="A887" s="38" t="str">
        <f>Lookup!A887</f>
        <v>A197</v>
      </c>
      <c r="B887" s="39">
        <f>SUMIFS(ItemInvoiceTracker!C:C,ItemInvoiceTracker!E:E,Data!A887)</f>
        <v>0</v>
      </c>
    </row>
    <row r="888" spans="1:2" x14ac:dyDescent="0.3">
      <c r="A888" s="38" t="str">
        <f>Lookup!A888</f>
        <v>A198</v>
      </c>
      <c r="B888" s="39">
        <f>SUMIFS(ItemInvoiceTracker!C:C,ItemInvoiceTracker!E:E,Data!A888)</f>
        <v>0</v>
      </c>
    </row>
    <row r="889" spans="1:2" x14ac:dyDescent="0.3">
      <c r="A889" s="38" t="str">
        <f>Lookup!A889</f>
        <v>A199</v>
      </c>
      <c r="B889" s="39">
        <f>SUMIFS(ItemInvoiceTracker!C:C,ItemInvoiceTracker!E:E,Data!A889)</f>
        <v>0</v>
      </c>
    </row>
    <row r="890" spans="1:2" x14ac:dyDescent="0.3">
      <c r="A890" s="38" t="str">
        <f>Lookup!A890</f>
        <v>A200</v>
      </c>
      <c r="B890" s="39">
        <f>SUMIFS(ItemInvoiceTracker!C:C,ItemInvoiceTracker!E:E,Data!A890)</f>
        <v>0</v>
      </c>
    </row>
    <row r="891" spans="1:2" x14ac:dyDescent="0.3">
      <c r="A891" s="38" t="str">
        <f>Lookup!A891</f>
        <v>A201</v>
      </c>
      <c r="B891" s="39">
        <f>SUMIFS(ItemInvoiceTracker!C:C,ItemInvoiceTracker!E:E,Data!A891)</f>
        <v>0</v>
      </c>
    </row>
    <row r="892" spans="1:2" x14ac:dyDescent="0.3">
      <c r="A892" s="38" t="str">
        <f>Lookup!A892</f>
        <v>A202</v>
      </c>
      <c r="B892" s="39">
        <f>SUMIFS(ItemInvoiceTracker!C:C,ItemInvoiceTracker!E:E,Data!A892)</f>
        <v>0</v>
      </c>
    </row>
    <row r="893" spans="1:2" x14ac:dyDescent="0.3">
      <c r="A893" s="38" t="str">
        <f>Lookup!A893</f>
        <v>A203</v>
      </c>
      <c r="B893" s="39">
        <f>SUMIFS(ItemInvoiceTracker!C:C,ItemInvoiceTracker!E:E,Data!A893)</f>
        <v>0</v>
      </c>
    </row>
    <row r="894" spans="1:2" x14ac:dyDescent="0.3">
      <c r="A894" s="38" t="str">
        <f>Lookup!A894</f>
        <v>A204</v>
      </c>
      <c r="B894" s="39">
        <f>SUMIFS(ItemInvoiceTracker!C:C,ItemInvoiceTracker!E:E,Data!A894)</f>
        <v>0</v>
      </c>
    </row>
    <row r="895" spans="1:2" x14ac:dyDescent="0.3">
      <c r="A895" s="38" t="str">
        <f>Lookup!A895</f>
        <v>A205</v>
      </c>
      <c r="B895" s="39">
        <f>SUMIFS(ItemInvoiceTracker!C:C,ItemInvoiceTracker!E:E,Data!A895)</f>
        <v>0</v>
      </c>
    </row>
    <row r="896" spans="1:2" x14ac:dyDescent="0.3">
      <c r="A896" s="38" t="str">
        <f>Lookup!A896</f>
        <v>A206</v>
      </c>
      <c r="B896" s="39">
        <f>SUMIFS(ItemInvoiceTracker!C:C,ItemInvoiceTracker!E:E,Data!A896)</f>
        <v>0</v>
      </c>
    </row>
    <row r="897" spans="1:2" x14ac:dyDescent="0.3">
      <c r="A897" s="38" t="str">
        <f>Lookup!A897</f>
        <v>A207</v>
      </c>
      <c r="B897" s="39">
        <f>SUMIFS(ItemInvoiceTracker!C:C,ItemInvoiceTracker!E:E,Data!A897)</f>
        <v>0</v>
      </c>
    </row>
    <row r="898" spans="1:2" x14ac:dyDescent="0.3">
      <c r="A898" s="38" t="str">
        <f>Lookup!A898</f>
        <v>A208</v>
      </c>
      <c r="B898" s="39">
        <f>SUMIFS(ItemInvoiceTracker!C:C,ItemInvoiceTracker!E:E,Data!A898)</f>
        <v>0</v>
      </c>
    </row>
    <row r="899" spans="1:2" x14ac:dyDescent="0.3">
      <c r="A899" s="38" t="str">
        <f>Lookup!A899</f>
        <v>A209</v>
      </c>
      <c r="B899" s="39">
        <f>SUMIFS(ItemInvoiceTracker!C:C,ItemInvoiceTracker!E:E,Data!A899)</f>
        <v>0</v>
      </c>
    </row>
    <row r="900" spans="1:2" x14ac:dyDescent="0.3">
      <c r="A900" s="38" t="str">
        <f>Lookup!A900</f>
        <v>A210</v>
      </c>
      <c r="B900" s="39">
        <f>SUMIFS(ItemInvoiceTracker!C:C,ItemInvoiceTracker!E:E,Data!A900)</f>
        <v>0</v>
      </c>
    </row>
    <row r="901" spans="1:2" x14ac:dyDescent="0.3">
      <c r="A901" s="38" t="str">
        <f>Lookup!A901</f>
        <v>A211</v>
      </c>
      <c r="B901" s="39">
        <f>SUMIFS(ItemInvoiceTracker!C:C,ItemInvoiceTracker!E:E,Data!A901)</f>
        <v>0</v>
      </c>
    </row>
    <row r="902" spans="1:2" x14ac:dyDescent="0.3">
      <c r="A902" s="38" t="str">
        <f>Lookup!A902</f>
        <v>A212</v>
      </c>
      <c r="B902" s="39">
        <f>SUMIFS(ItemInvoiceTracker!C:C,ItemInvoiceTracker!E:E,Data!A902)</f>
        <v>0</v>
      </c>
    </row>
    <row r="903" spans="1:2" x14ac:dyDescent="0.3">
      <c r="A903" s="38" t="str">
        <f>Lookup!A903</f>
        <v>A213</v>
      </c>
      <c r="B903" s="39">
        <f>SUMIFS(ItemInvoiceTracker!C:C,ItemInvoiceTracker!E:E,Data!A903)</f>
        <v>0</v>
      </c>
    </row>
    <row r="904" spans="1:2" x14ac:dyDescent="0.3">
      <c r="A904" s="38" t="str">
        <f>Lookup!A904</f>
        <v>A214</v>
      </c>
      <c r="B904" s="39">
        <f>SUMIFS(ItemInvoiceTracker!C:C,ItemInvoiceTracker!E:E,Data!A904)</f>
        <v>0</v>
      </c>
    </row>
    <row r="905" spans="1:2" x14ac:dyDescent="0.3">
      <c r="A905" s="38" t="str">
        <f>Lookup!A905</f>
        <v>A215</v>
      </c>
      <c r="B905" s="39">
        <f>SUMIFS(ItemInvoiceTracker!C:C,ItemInvoiceTracker!E:E,Data!A905)</f>
        <v>0</v>
      </c>
    </row>
    <row r="906" spans="1:2" x14ac:dyDescent="0.3">
      <c r="A906" s="38" t="str">
        <f>Lookup!A906</f>
        <v>A216</v>
      </c>
      <c r="B906" s="39">
        <f>SUMIFS(ItemInvoiceTracker!C:C,ItemInvoiceTracker!E:E,Data!A906)</f>
        <v>0</v>
      </c>
    </row>
    <row r="907" spans="1:2" x14ac:dyDescent="0.3">
      <c r="A907" s="38" t="str">
        <f>Lookup!A907</f>
        <v>A217</v>
      </c>
      <c r="B907" s="39">
        <f>SUMIFS(ItemInvoiceTracker!C:C,ItemInvoiceTracker!E:E,Data!A907)</f>
        <v>0</v>
      </c>
    </row>
    <row r="908" spans="1:2" x14ac:dyDescent="0.3">
      <c r="A908" s="38" t="str">
        <f>Lookup!A908</f>
        <v>A218</v>
      </c>
      <c r="B908" s="39">
        <f>SUMIFS(ItemInvoiceTracker!C:C,ItemInvoiceTracker!E:E,Data!A908)</f>
        <v>0</v>
      </c>
    </row>
    <row r="909" spans="1:2" x14ac:dyDescent="0.3">
      <c r="A909" s="38" t="str">
        <f>Lookup!A909</f>
        <v>A219</v>
      </c>
      <c r="B909" s="39">
        <f>SUMIFS(ItemInvoiceTracker!C:C,ItemInvoiceTracker!E:E,Data!A909)</f>
        <v>0</v>
      </c>
    </row>
    <row r="910" spans="1:2" x14ac:dyDescent="0.3">
      <c r="A910" s="38" t="str">
        <f>Lookup!A910</f>
        <v>A220</v>
      </c>
      <c r="B910" s="39">
        <f>SUMIFS(ItemInvoiceTracker!C:C,ItemInvoiceTracker!E:E,Data!A910)</f>
        <v>0</v>
      </c>
    </row>
    <row r="911" spans="1:2" x14ac:dyDescent="0.3">
      <c r="A911" s="38" t="str">
        <f>Lookup!A911</f>
        <v>A221</v>
      </c>
      <c r="B911" s="39">
        <f>SUMIFS(ItemInvoiceTracker!C:C,ItemInvoiceTracker!E:E,Data!A911)</f>
        <v>0</v>
      </c>
    </row>
    <row r="912" spans="1:2" x14ac:dyDescent="0.3">
      <c r="A912" s="38" t="str">
        <f>Lookup!A912</f>
        <v>A222</v>
      </c>
      <c r="B912" s="39">
        <f>SUMIFS(ItemInvoiceTracker!C:C,ItemInvoiceTracker!E:E,Data!A912)</f>
        <v>0</v>
      </c>
    </row>
    <row r="913" spans="1:2" x14ac:dyDescent="0.3">
      <c r="A913" s="38" t="str">
        <f>Lookup!A913</f>
        <v>A223</v>
      </c>
      <c r="B913" s="39">
        <f>SUMIFS(ItemInvoiceTracker!C:C,ItemInvoiceTracker!E:E,Data!A913)</f>
        <v>0</v>
      </c>
    </row>
    <row r="914" spans="1:2" x14ac:dyDescent="0.3">
      <c r="A914" s="38" t="str">
        <f>Lookup!A914</f>
        <v>A224</v>
      </c>
      <c r="B914" s="39">
        <f>SUMIFS(ItemInvoiceTracker!C:C,ItemInvoiceTracker!E:E,Data!A914)</f>
        <v>0</v>
      </c>
    </row>
    <row r="915" spans="1:2" x14ac:dyDescent="0.3">
      <c r="A915" s="38" t="str">
        <f>Lookup!A915</f>
        <v>A225</v>
      </c>
      <c r="B915" s="39">
        <f>SUMIFS(ItemInvoiceTracker!C:C,ItemInvoiceTracker!E:E,Data!A915)</f>
        <v>0</v>
      </c>
    </row>
    <row r="916" spans="1:2" x14ac:dyDescent="0.3">
      <c r="A916" s="38" t="str">
        <f>Lookup!A916</f>
        <v>A226</v>
      </c>
      <c r="B916" s="39">
        <f>SUMIFS(ItemInvoiceTracker!C:C,ItemInvoiceTracker!E:E,Data!A916)</f>
        <v>0</v>
      </c>
    </row>
    <row r="917" spans="1:2" x14ac:dyDescent="0.3">
      <c r="A917" s="38" t="str">
        <f>Lookup!A917</f>
        <v>A227</v>
      </c>
      <c r="B917" s="39">
        <f>SUMIFS(ItemInvoiceTracker!C:C,ItemInvoiceTracker!E:E,Data!A917)</f>
        <v>0</v>
      </c>
    </row>
    <row r="918" spans="1:2" x14ac:dyDescent="0.3">
      <c r="A918" s="38" t="str">
        <f>Lookup!A918</f>
        <v>A228</v>
      </c>
      <c r="B918" s="39">
        <f>SUMIFS(ItemInvoiceTracker!C:C,ItemInvoiceTracker!E:E,Data!A918)</f>
        <v>0</v>
      </c>
    </row>
    <row r="919" spans="1:2" x14ac:dyDescent="0.3">
      <c r="A919" s="38" t="str">
        <f>Lookup!A919</f>
        <v>A229</v>
      </c>
      <c r="B919" s="39">
        <f>SUMIFS(ItemInvoiceTracker!C:C,ItemInvoiceTracker!E:E,Data!A919)</f>
        <v>0</v>
      </c>
    </row>
    <row r="920" spans="1:2" x14ac:dyDescent="0.3">
      <c r="A920" s="38" t="str">
        <f>Lookup!A920</f>
        <v>A230</v>
      </c>
      <c r="B920" s="39">
        <f>SUMIFS(ItemInvoiceTracker!C:C,ItemInvoiceTracker!E:E,Data!A920)</f>
        <v>0</v>
      </c>
    </row>
    <row r="921" spans="1:2" x14ac:dyDescent="0.3">
      <c r="A921" s="38" t="str">
        <f>Lookup!A921</f>
        <v>A231</v>
      </c>
      <c r="B921" s="39">
        <f>SUMIFS(ItemInvoiceTracker!C:C,ItemInvoiceTracker!E:E,Data!A921)</f>
        <v>0</v>
      </c>
    </row>
    <row r="922" spans="1:2" x14ac:dyDescent="0.3">
      <c r="A922" s="38" t="str">
        <f>Lookup!A922</f>
        <v>A232</v>
      </c>
      <c r="B922" s="39">
        <f>SUMIFS(ItemInvoiceTracker!C:C,ItemInvoiceTracker!E:E,Data!A922)</f>
        <v>0</v>
      </c>
    </row>
    <row r="923" spans="1:2" x14ac:dyDescent="0.3">
      <c r="A923" s="38" t="str">
        <f>Lookup!A923</f>
        <v>A233</v>
      </c>
      <c r="B923" s="39">
        <f>SUMIFS(ItemInvoiceTracker!C:C,ItemInvoiceTracker!E:E,Data!A923)</f>
        <v>0</v>
      </c>
    </row>
    <row r="924" spans="1:2" x14ac:dyDescent="0.3">
      <c r="A924" s="38" t="str">
        <f>Lookup!A924</f>
        <v>A234</v>
      </c>
      <c r="B924" s="39">
        <f>SUMIFS(ItemInvoiceTracker!C:C,ItemInvoiceTracker!E:E,Data!A924)</f>
        <v>0</v>
      </c>
    </row>
    <row r="925" spans="1:2" x14ac:dyDescent="0.3">
      <c r="A925" s="38" t="str">
        <f>Lookup!A925</f>
        <v>A235</v>
      </c>
      <c r="B925" s="39">
        <f>SUMIFS(ItemInvoiceTracker!C:C,ItemInvoiceTracker!E:E,Data!A925)</f>
        <v>0</v>
      </c>
    </row>
    <row r="926" spans="1:2" x14ac:dyDescent="0.3">
      <c r="A926" s="38" t="str">
        <f>Lookup!A926</f>
        <v>A236</v>
      </c>
      <c r="B926" s="39">
        <f>SUMIFS(ItemInvoiceTracker!C:C,ItemInvoiceTracker!E:E,Data!A926)</f>
        <v>0</v>
      </c>
    </row>
    <row r="927" spans="1:2" x14ac:dyDescent="0.3">
      <c r="A927" s="38" t="str">
        <f>Lookup!A927</f>
        <v>A237</v>
      </c>
      <c r="B927" s="39">
        <f>SUMIFS(ItemInvoiceTracker!C:C,ItemInvoiceTracker!E:E,Data!A927)</f>
        <v>0</v>
      </c>
    </row>
    <row r="928" spans="1:2" x14ac:dyDescent="0.3">
      <c r="A928" s="38" t="str">
        <f>Lookup!A928</f>
        <v>A238</v>
      </c>
      <c r="B928" s="39">
        <f>SUMIFS(ItemInvoiceTracker!C:C,ItemInvoiceTracker!E:E,Data!A928)</f>
        <v>0</v>
      </c>
    </row>
    <row r="929" spans="1:2" x14ac:dyDescent="0.3">
      <c r="A929" s="38" t="str">
        <f>Lookup!A929</f>
        <v>A239</v>
      </c>
      <c r="B929" s="39">
        <f>SUMIFS(ItemInvoiceTracker!C:C,ItemInvoiceTracker!E:E,Data!A929)</f>
        <v>0</v>
      </c>
    </row>
    <row r="930" spans="1:2" x14ac:dyDescent="0.3">
      <c r="A930" s="38" t="str">
        <f>Lookup!A930</f>
        <v>A240</v>
      </c>
      <c r="B930" s="39">
        <f>SUMIFS(ItemInvoiceTracker!C:C,ItemInvoiceTracker!E:E,Data!A930)</f>
        <v>0</v>
      </c>
    </row>
    <row r="931" spans="1:2" x14ac:dyDescent="0.3">
      <c r="A931" s="38" t="str">
        <f>Lookup!A931</f>
        <v>A241</v>
      </c>
      <c r="B931" s="39">
        <f>SUMIFS(ItemInvoiceTracker!C:C,ItemInvoiceTracker!E:E,Data!A931)</f>
        <v>0</v>
      </c>
    </row>
    <row r="932" spans="1:2" x14ac:dyDescent="0.3">
      <c r="A932" s="38" t="str">
        <f>Lookup!A932</f>
        <v>A242</v>
      </c>
      <c r="B932" s="39">
        <f>SUMIFS(ItemInvoiceTracker!C:C,ItemInvoiceTracker!E:E,Data!A932)</f>
        <v>0</v>
      </c>
    </row>
    <row r="933" spans="1:2" x14ac:dyDescent="0.3">
      <c r="A933" s="38" t="str">
        <f>Lookup!A933</f>
        <v>A243</v>
      </c>
      <c r="B933" s="39">
        <f>SUMIFS(ItemInvoiceTracker!C:C,ItemInvoiceTracker!E:E,Data!A933)</f>
        <v>0</v>
      </c>
    </row>
    <row r="934" spans="1:2" x14ac:dyDescent="0.3">
      <c r="A934" s="38" t="str">
        <f>Lookup!A934</f>
        <v>A244</v>
      </c>
      <c r="B934" s="39">
        <f>SUMIFS(ItemInvoiceTracker!C:C,ItemInvoiceTracker!E:E,Data!A934)</f>
        <v>0</v>
      </c>
    </row>
    <row r="935" spans="1:2" x14ac:dyDescent="0.3">
      <c r="A935" s="38" t="str">
        <f>Lookup!A935</f>
        <v>A245</v>
      </c>
      <c r="B935" s="39">
        <f>SUMIFS(ItemInvoiceTracker!C:C,ItemInvoiceTracker!E:E,Data!A935)</f>
        <v>0</v>
      </c>
    </row>
    <row r="936" spans="1:2" x14ac:dyDescent="0.3">
      <c r="A936" s="38" t="str">
        <f>Lookup!A936</f>
        <v>A246</v>
      </c>
      <c r="B936" s="39">
        <f>SUMIFS(ItemInvoiceTracker!C:C,ItemInvoiceTracker!E:E,Data!A936)</f>
        <v>0</v>
      </c>
    </row>
    <row r="937" spans="1:2" x14ac:dyDescent="0.3">
      <c r="A937" s="38" t="str">
        <f>Lookup!A937</f>
        <v>A247</v>
      </c>
      <c r="B937" s="39">
        <f>SUMIFS(ItemInvoiceTracker!C:C,ItemInvoiceTracker!E:E,Data!A937)</f>
        <v>0</v>
      </c>
    </row>
    <row r="938" spans="1:2" x14ac:dyDescent="0.3">
      <c r="A938" s="38" t="str">
        <f>Lookup!A938</f>
        <v>A248</v>
      </c>
      <c r="B938" s="39">
        <f>SUMIFS(ItemInvoiceTracker!C:C,ItemInvoiceTracker!E:E,Data!A938)</f>
        <v>0</v>
      </c>
    </row>
    <row r="939" spans="1:2" x14ac:dyDescent="0.3">
      <c r="A939" s="38" t="str">
        <f>Lookup!A939</f>
        <v>A249</v>
      </c>
      <c r="B939" s="39">
        <f>SUMIFS(ItemInvoiceTracker!C:C,ItemInvoiceTracker!E:E,Data!A939)</f>
        <v>0</v>
      </c>
    </row>
    <row r="940" spans="1:2" x14ac:dyDescent="0.3">
      <c r="A940" s="38" t="str">
        <f>Lookup!A940</f>
        <v>A250</v>
      </c>
      <c r="B940" s="39">
        <f>SUMIFS(ItemInvoiceTracker!C:C,ItemInvoiceTracker!E:E,Data!A940)</f>
        <v>0</v>
      </c>
    </row>
    <row r="941" spans="1:2" x14ac:dyDescent="0.3">
      <c r="A941" s="38" t="str">
        <f>Lookup!A941</f>
        <v>A251</v>
      </c>
      <c r="B941" s="39">
        <f>SUMIFS(ItemInvoiceTracker!C:C,ItemInvoiceTracker!E:E,Data!A941)</f>
        <v>0</v>
      </c>
    </row>
    <row r="942" spans="1:2" x14ac:dyDescent="0.3">
      <c r="A942" s="38" t="str">
        <f>Lookup!A942</f>
        <v>A252</v>
      </c>
      <c r="B942" s="39">
        <f>SUMIFS(ItemInvoiceTracker!C:C,ItemInvoiceTracker!E:E,Data!A942)</f>
        <v>0</v>
      </c>
    </row>
    <row r="943" spans="1:2" x14ac:dyDescent="0.3">
      <c r="A943" s="38" t="str">
        <f>Lookup!A943</f>
        <v>A253</v>
      </c>
      <c r="B943" s="39">
        <f>SUMIFS(ItemInvoiceTracker!C:C,ItemInvoiceTracker!E:E,Data!A943)</f>
        <v>0</v>
      </c>
    </row>
    <row r="944" spans="1:2" x14ac:dyDescent="0.3">
      <c r="A944" s="38" t="str">
        <f>Lookup!A944</f>
        <v>A254</v>
      </c>
      <c r="B944" s="39">
        <f>SUMIFS(ItemInvoiceTracker!C:C,ItemInvoiceTracker!E:E,Data!A944)</f>
        <v>0</v>
      </c>
    </row>
    <row r="945" spans="1:2" x14ac:dyDescent="0.3">
      <c r="A945" s="38" t="str">
        <f>Lookup!A945</f>
        <v>A255</v>
      </c>
      <c r="B945" s="39">
        <f>SUMIFS(ItemInvoiceTracker!C:C,ItemInvoiceTracker!E:E,Data!A945)</f>
        <v>0</v>
      </c>
    </row>
    <row r="946" spans="1:2" x14ac:dyDescent="0.3">
      <c r="A946" s="38" t="str">
        <f>Lookup!A946</f>
        <v>A256</v>
      </c>
      <c r="B946" s="39">
        <f>SUMIFS(ItemInvoiceTracker!C:C,ItemInvoiceTracker!E:E,Data!A946)</f>
        <v>0</v>
      </c>
    </row>
    <row r="947" spans="1:2" x14ac:dyDescent="0.3">
      <c r="A947" s="38" t="str">
        <f>Lookup!A947</f>
        <v>A257</v>
      </c>
      <c r="B947" s="39">
        <f>SUMIFS(ItemInvoiceTracker!C:C,ItemInvoiceTracker!E:E,Data!A947)</f>
        <v>0</v>
      </c>
    </row>
    <row r="948" spans="1:2" x14ac:dyDescent="0.3">
      <c r="A948" s="38" t="str">
        <f>Lookup!A948</f>
        <v>A258</v>
      </c>
      <c r="B948" s="39">
        <f>SUMIFS(ItemInvoiceTracker!C:C,ItemInvoiceTracker!E:E,Data!A948)</f>
        <v>0</v>
      </c>
    </row>
    <row r="949" spans="1:2" x14ac:dyDescent="0.3">
      <c r="A949" s="38" t="str">
        <f>Lookup!A949</f>
        <v>A259</v>
      </c>
      <c r="B949" s="39">
        <f>SUMIFS(ItemInvoiceTracker!C:C,ItemInvoiceTracker!E:E,Data!A949)</f>
        <v>0</v>
      </c>
    </row>
    <row r="950" spans="1:2" x14ac:dyDescent="0.3">
      <c r="A950" s="38" t="str">
        <f>Lookup!A950</f>
        <v>A260</v>
      </c>
      <c r="B950" s="39">
        <f>SUMIFS(ItemInvoiceTracker!C:C,ItemInvoiceTracker!E:E,Data!A950)</f>
        <v>0</v>
      </c>
    </row>
    <row r="951" spans="1:2" x14ac:dyDescent="0.3">
      <c r="A951" s="38" t="str">
        <f>Lookup!A951</f>
        <v>A261</v>
      </c>
      <c r="B951" s="39">
        <f>SUMIFS(ItemInvoiceTracker!C:C,ItemInvoiceTracker!E:E,Data!A951)</f>
        <v>0</v>
      </c>
    </row>
    <row r="952" spans="1:2" x14ac:dyDescent="0.3">
      <c r="A952" s="38" t="str">
        <f>Lookup!A952</f>
        <v>A262</v>
      </c>
      <c r="B952" s="39">
        <f>SUMIFS(ItemInvoiceTracker!C:C,ItemInvoiceTracker!E:E,Data!A952)</f>
        <v>0</v>
      </c>
    </row>
    <row r="953" spans="1:2" x14ac:dyDescent="0.3">
      <c r="A953" s="38" t="str">
        <f>Lookup!A953</f>
        <v>A263</v>
      </c>
      <c r="B953" s="39">
        <f>SUMIFS(ItemInvoiceTracker!C:C,ItemInvoiceTracker!E:E,Data!A953)</f>
        <v>0</v>
      </c>
    </row>
    <row r="954" spans="1:2" x14ac:dyDescent="0.3">
      <c r="A954" s="38" t="str">
        <f>Lookup!A954</f>
        <v>A264</v>
      </c>
      <c r="B954" s="39">
        <f>SUMIFS(ItemInvoiceTracker!C:C,ItemInvoiceTracker!E:E,Data!A954)</f>
        <v>0</v>
      </c>
    </row>
    <row r="955" spans="1:2" x14ac:dyDescent="0.3">
      <c r="A955" s="38" t="str">
        <f>Lookup!A955</f>
        <v>A265</v>
      </c>
      <c r="B955" s="39">
        <f>SUMIFS(ItemInvoiceTracker!C:C,ItemInvoiceTracker!E:E,Data!A955)</f>
        <v>0</v>
      </c>
    </row>
    <row r="956" spans="1:2" x14ac:dyDescent="0.3">
      <c r="A956" s="38" t="str">
        <f>Lookup!A956</f>
        <v>A266</v>
      </c>
      <c r="B956" s="39">
        <f>SUMIFS(ItemInvoiceTracker!C:C,ItemInvoiceTracker!E:E,Data!A956)</f>
        <v>0</v>
      </c>
    </row>
    <row r="957" spans="1:2" x14ac:dyDescent="0.3">
      <c r="A957" s="38" t="str">
        <f>Lookup!A957</f>
        <v>A267</v>
      </c>
      <c r="B957" s="39">
        <f>SUMIFS(ItemInvoiceTracker!C:C,ItemInvoiceTracker!E:E,Data!A957)</f>
        <v>0</v>
      </c>
    </row>
    <row r="958" spans="1:2" x14ac:dyDescent="0.3">
      <c r="A958" s="38" t="str">
        <f>Lookup!A958</f>
        <v>A268</v>
      </c>
      <c r="B958" s="39">
        <f>SUMIFS(ItemInvoiceTracker!C:C,ItemInvoiceTracker!E:E,Data!A958)</f>
        <v>0</v>
      </c>
    </row>
    <row r="959" spans="1:2" x14ac:dyDescent="0.3">
      <c r="A959" s="38" t="str">
        <f>Lookup!A959</f>
        <v>A269</v>
      </c>
      <c r="B959" s="39">
        <f>SUMIFS(ItemInvoiceTracker!C:C,ItemInvoiceTracker!E:E,Data!A959)</f>
        <v>0</v>
      </c>
    </row>
    <row r="960" spans="1:2" x14ac:dyDescent="0.3">
      <c r="A960" s="38" t="str">
        <f>Lookup!A960</f>
        <v>A270</v>
      </c>
      <c r="B960" s="39">
        <f>SUMIFS(ItemInvoiceTracker!C:C,ItemInvoiceTracker!E:E,Data!A960)</f>
        <v>0</v>
      </c>
    </row>
    <row r="961" spans="1:2" x14ac:dyDescent="0.3">
      <c r="A961" s="38" t="str">
        <f>Lookup!A961</f>
        <v>A271</v>
      </c>
      <c r="B961" s="39">
        <f>SUMIFS(ItemInvoiceTracker!C:C,ItemInvoiceTracker!E:E,Data!A961)</f>
        <v>0</v>
      </c>
    </row>
    <row r="962" spans="1:2" x14ac:dyDescent="0.3">
      <c r="A962" s="38" t="str">
        <f>Lookup!A962</f>
        <v>A272</v>
      </c>
      <c r="B962" s="39">
        <f>SUMIFS(ItemInvoiceTracker!C:C,ItemInvoiceTracker!E:E,Data!A962)</f>
        <v>0</v>
      </c>
    </row>
    <row r="963" spans="1:2" x14ac:dyDescent="0.3">
      <c r="A963" s="38" t="str">
        <f>Lookup!A963</f>
        <v>A273</v>
      </c>
      <c r="B963" s="39">
        <f>SUMIFS(ItemInvoiceTracker!C:C,ItemInvoiceTracker!E:E,Data!A963)</f>
        <v>0</v>
      </c>
    </row>
    <row r="964" spans="1:2" x14ac:dyDescent="0.3">
      <c r="A964" s="38" t="str">
        <f>Lookup!A964</f>
        <v>A274</v>
      </c>
      <c r="B964" s="39">
        <f>SUMIFS(ItemInvoiceTracker!C:C,ItemInvoiceTracker!E:E,Data!A964)</f>
        <v>0</v>
      </c>
    </row>
    <row r="965" spans="1:2" x14ac:dyDescent="0.3">
      <c r="A965" s="38" t="str">
        <f>Lookup!A965</f>
        <v>A275</v>
      </c>
      <c r="B965" s="39">
        <f>SUMIFS(ItemInvoiceTracker!C:C,ItemInvoiceTracker!E:E,Data!A965)</f>
        <v>0</v>
      </c>
    </row>
    <row r="966" spans="1:2" x14ac:dyDescent="0.3">
      <c r="A966" s="38" t="str">
        <f>Lookup!A966</f>
        <v>A276</v>
      </c>
      <c r="B966" s="39">
        <f>SUMIFS(ItemInvoiceTracker!C:C,ItemInvoiceTracker!E:E,Data!A966)</f>
        <v>0</v>
      </c>
    </row>
    <row r="967" spans="1:2" x14ac:dyDescent="0.3">
      <c r="A967" s="38" t="str">
        <f>Lookup!A967</f>
        <v>A277</v>
      </c>
      <c r="B967" s="39">
        <f>SUMIFS(ItemInvoiceTracker!C:C,ItemInvoiceTracker!E:E,Data!A967)</f>
        <v>0</v>
      </c>
    </row>
    <row r="968" spans="1:2" x14ac:dyDescent="0.3">
      <c r="A968" s="38" t="str">
        <f>Lookup!A968</f>
        <v>A278</v>
      </c>
      <c r="B968" s="39">
        <f>SUMIFS(ItemInvoiceTracker!C:C,ItemInvoiceTracker!E:E,Data!A968)</f>
        <v>0</v>
      </c>
    </row>
    <row r="969" spans="1:2" x14ac:dyDescent="0.3">
      <c r="A969" s="38" t="str">
        <f>Lookup!A969</f>
        <v>A279</v>
      </c>
      <c r="B969" s="39">
        <f>SUMIFS(ItemInvoiceTracker!C:C,ItemInvoiceTracker!E:E,Data!A969)</f>
        <v>0</v>
      </c>
    </row>
    <row r="970" spans="1:2" x14ac:dyDescent="0.3">
      <c r="A970" s="38" t="str">
        <f>Lookup!A970</f>
        <v>A280</v>
      </c>
      <c r="B970" s="39">
        <f>SUMIFS(ItemInvoiceTracker!C:C,ItemInvoiceTracker!E:E,Data!A970)</f>
        <v>0</v>
      </c>
    </row>
    <row r="971" spans="1:2" x14ac:dyDescent="0.3">
      <c r="A971" s="38" t="str">
        <f>Lookup!A971</f>
        <v>A281</v>
      </c>
      <c r="B971" s="39">
        <f>SUMIFS(ItemInvoiceTracker!C:C,ItemInvoiceTracker!E:E,Data!A971)</f>
        <v>0</v>
      </c>
    </row>
    <row r="972" spans="1:2" x14ac:dyDescent="0.3">
      <c r="A972" s="38" t="str">
        <f>Lookup!A972</f>
        <v>A282</v>
      </c>
      <c r="B972" s="39">
        <f>SUMIFS(ItemInvoiceTracker!C:C,ItemInvoiceTracker!E:E,Data!A972)</f>
        <v>0</v>
      </c>
    </row>
    <row r="973" spans="1:2" x14ac:dyDescent="0.3">
      <c r="A973" s="38" t="str">
        <f>Lookup!A973</f>
        <v>A283</v>
      </c>
      <c r="B973" s="39">
        <f>SUMIFS(ItemInvoiceTracker!C:C,ItemInvoiceTracker!E:E,Data!A973)</f>
        <v>0</v>
      </c>
    </row>
    <row r="974" spans="1:2" x14ac:dyDescent="0.3">
      <c r="A974" s="38" t="str">
        <f>Lookup!A974</f>
        <v>A284</v>
      </c>
      <c r="B974" s="39">
        <f>SUMIFS(ItemInvoiceTracker!C:C,ItemInvoiceTracker!E:E,Data!A974)</f>
        <v>0</v>
      </c>
    </row>
    <row r="975" spans="1:2" x14ac:dyDescent="0.3">
      <c r="A975" s="38" t="str">
        <f>Lookup!A975</f>
        <v>A285</v>
      </c>
      <c r="B975" s="39">
        <f>SUMIFS(ItemInvoiceTracker!C:C,ItemInvoiceTracker!E:E,Data!A975)</f>
        <v>0</v>
      </c>
    </row>
    <row r="976" spans="1:2" x14ac:dyDescent="0.3">
      <c r="A976" s="38" t="str">
        <f>Lookup!A976</f>
        <v>A286</v>
      </c>
      <c r="B976" s="39">
        <f>SUMIFS(ItemInvoiceTracker!C:C,ItemInvoiceTracker!E:E,Data!A976)</f>
        <v>0</v>
      </c>
    </row>
    <row r="977" spans="1:2" x14ac:dyDescent="0.3">
      <c r="A977" s="38" t="str">
        <f>Lookup!A977</f>
        <v>A287</v>
      </c>
      <c r="B977" s="39">
        <f>SUMIFS(ItemInvoiceTracker!C:C,ItemInvoiceTracker!E:E,Data!A977)</f>
        <v>0</v>
      </c>
    </row>
    <row r="978" spans="1:2" x14ac:dyDescent="0.3">
      <c r="A978" s="38" t="str">
        <f>Lookup!A978</f>
        <v>A288</v>
      </c>
      <c r="B978" s="39">
        <f>SUMIFS(ItemInvoiceTracker!C:C,ItemInvoiceTracker!E:E,Data!A978)</f>
        <v>0</v>
      </c>
    </row>
    <row r="979" spans="1:2" x14ac:dyDescent="0.3">
      <c r="A979" s="38" t="str">
        <f>Lookup!A979</f>
        <v>A289</v>
      </c>
      <c r="B979" s="39">
        <f>SUMIFS(ItemInvoiceTracker!C:C,ItemInvoiceTracker!E:E,Data!A979)</f>
        <v>0</v>
      </c>
    </row>
    <row r="980" spans="1:2" x14ac:dyDescent="0.3">
      <c r="A980" s="38" t="str">
        <f>Lookup!A980</f>
        <v>A290</v>
      </c>
      <c r="B980" s="39">
        <f>SUMIFS(ItemInvoiceTracker!C:C,ItemInvoiceTracker!E:E,Data!A980)</f>
        <v>0</v>
      </c>
    </row>
    <row r="981" spans="1:2" x14ac:dyDescent="0.3">
      <c r="A981" s="38" t="str">
        <f>Lookup!A981</f>
        <v>A291</v>
      </c>
      <c r="B981" s="39">
        <f>SUMIFS(ItemInvoiceTracker!C:C,ItemInvoiceTracker!E:E,Data!A981)</f>
        <v>0</v>
      </c>
    </row>
    <row r="982" spans="1:2" x14ac:dyDescent="0.3">
      <c r="A982" s="38" t="str">
        <f>Lookup!A982</f>
        <v>A292</v>
      </c>
      <c r="B982" s="39">
        <f>SUMIFS(ItemInvoiceTracker!C:C,ItemInvoiceTracker!E:E,Data!A982)</f>
        <v>0</v>
      </c>
    </row>
    <row r="983" spans="1:2" x14ac:dyDescent="0.3">
      <c r="A983" s="38" t="str">
        <f>Lookup!A983</f>
        <v>A293</v>
      </c>
      <c r="B983" s="39">
        <f>SUMIFS(ItemInvoiceTracker!C:C,ItemInvoiceTracker!E:E,Data!A983)</f>
        <v>0</v>
      </c>
    </row>
    <row r="984" spans="1:2" x14ac:dyDescent="0.3">
      <c r="A984" s="38" t="str">
        <f>Lookup!A984</f>
        <v>A294</v>
      </c>
      <c r="B984" s="39">
        <f>SUMIFS(ItemInvoiceTracker!C:C,ItemInvoiceTracker!E:E,Data!A984)</f>
        <v>0</v>
      </c>
    </row>
    <row r="985" spans="1:2" x14ac:dyDescent="0.3">
      <c r="A985" s="38" t="str">
        <f>Lookup!A985</f>
        <v>A295</v>
      </c>
      <c r="B985" s="39">
        <f>SUMIFS(ItemInvoiceTracker!C:C,ItemInvoiceTracker!E:E,Data!A985)</f>
        <v>0</v>
      </c>
    </row>
    <row r="986" spans="1:2" x14ac:dyDescent="0.3">
      <c r="A986" s="38" t="str">
        <f>Lookup!A986</f>
        <v>A296</v>
      </c>
      <c r="B986" s="39">
        <f>SUMIFS(ItemInvoiceTracker!C:C,ItemInvoiceTracker!E:E,Data!A986)</f>
        <v>0</v>
      </c>
    </row>
    <row r="987" spans="1:2" x14ac:dyDescent="0.3">
      <c r="A987" s="38" t="str">
        <f>Lookup!A987</f>
        <v>A297</v>
      </c>
      <c r="B987" s="39">
        <f>SUMIFS(ItemInvoiceTracker!C:C,ItemInvoiceTracker!E:E,Data!A987)</f>
        <v>0</v>
      </c>
    </row>
    <row r="988" spans="1:2" x14ac:dyDescent="0.3">
      <c r="A988" s="38" t="str">
        <f>Lookup!A988</f>
        <v>A298</v>
      </c>
      <c r="B988" s="39">
        <f>SUMIFS(ItemInvoiceTracker!C:C,ItemInvoiceTracker!E:E,Data!A988)</f>
        <v>0</v>
      </c>
    </row>
    <row r="989" spans="1:2" x14ac:dyDescent="0.3">
      <c r="A989" s="38" t="str">
        <f>Lookup!A989</f>
        <v>A299</v>
      </c>
      <c r="B989" s="39">
        <f>SUMIFS(ItemInvoiceTracker!C:C,ItemInvoiceTracker!E:E,Data!A989)</f>
        <v>0</v>
      </c>
    </row>
    <row r="990" spans="1:2" x14ac:dyDescent="0.3">
      <c r="A990" s="38" t="str">
        <f>Lookup!A990</f>
        <v>A300</v>
      </c>
      <c r="B990" s="39">
        <f>SUMIFS(ItemInvoiceTracker!C:C,ItemInvoiceTracker!E:E,Data!A990)</f>
        <v>0</v>
      </c>
    </row>
    <row r="991" spans="1:2" x14ac:dyDescent="0.3">
      <c r="A991" s="38" t="str">
        <f>Lookup!A991</f>
        <v>A301</v>
      </c>
      <c r="B991" s="39">
        <f>SUMIFS(ItemInvoiceTracker!C:C,ItemInvoiceTracker!E:E,Data!A991)</f>
        <v>0</v>
      </c>
    </row>
    <row r="992" spans="1:2" x14ac:dyDescent="0.3">
      <c r="A992" s="38" t="str">
        <f>Lookup!A992</f>
        <v>A302</v>
      </c>
      <c r="B992" s="39">
        <f>SUMIFS(ItemInvoiceTracker!C:C,ItemInvoiceTracker!E:E,Data!A992)</f>
        <v>0</v>
      </c>
    </row>
    <row r="993" spans="1:2" x14ac:dyDescent="0.3">
      <c r="A993" s="38" t="str">
        <f>Lookup!A993</f>
        <v>A303</v>
      </c>
      <c r="B993" s="39">
        <f>SUMIFS(ItemInvoiceTracker!C:C,ItemInvoiceTracker!E:E,Data!A993)</f>
        <v>0</v>
      </c>
    </row>
    <row r="994" spans="1:2" x14ac:dyDescent="0.3">
      <c r="A994" s="38" t="str">
        <f>Lookup!A994</f>
        <v>A304</v>
      </c>
      <c r="B994" s="39">
        <f>SUMIFS(ItemInvoiceTracker!C:C,ItemInvoiceTracker!E:E,Data!A994)</f>
        <v>0</v>
      </c>
    </row>
    <row r="995" spans="1:2" x14ac:dyDescent="0.3">
      <c r="A995" s="38" t="str">
        <f>Lookup!A995</f>
        <v>A305</v>
      </c>
      <c r="B995" s="39">
        <f>SUMIFS(ItemInvoiceTracker!C:C,ItemInvoiceTracker!E:E,Data!A995)</f>
        <v>0</v>
      </c>
    </row>
    <row r="996" spans="1:2" x14ac:dyDescent="0.3">
      <c r="A996" s="38" t="str">
        <f>Lookup!A996</f>
        <v>A306</v>
      </c>
      <c r="B996" s="39">
        <f>SUMIFS(ItemInvoiceTracker!C:C,ItemInvoiceTracker!E:E,Data!A996)</f>
        <v>0</v>
      </c>
    </row>
    <row r="997" spans="1:2" x14ac:dyDescent="0.3">
      <c r="A997" s="38" t="str">
        <f>Lookup!A997</f>
        <v>A307</v>
      </c>
      <c r="B997" s="39">
        <f>SUMIFS(ItemInvoiceTracker!C:C,ItemInvoiceTracker!E:E,Data!A997)</f>
        <v>0</v>
      </c>
    </row>
    <row r="998" spans="1:2" x14ac:dyDescent="0.3">
      <c r="A998" s="38" t="str">
        <f>Lookup!A998</f>
        <v>A308</v>
      </c>
      <c r="B998" s="39">
        <f>SUMIFS(ItemInvoiceTracker!C:C,ItemInvoiceTracker!E:E,Data!A998)</f>
        <v>0</v>
      </c>
    </row>
    <row r="999" spans="1:2" x14ac:dyDescent="0.3">
      <c r="A999" s="38" t="str">
        <f>Lookup!A999</f>
        <v>A309</v>
      </c>
      <c r="B999" s="39">
        <f>SUMIFS(ItemInvoiceTracker!C:C,ItemInvoiceTracker!E:E,Data!A999)</f>
        <v>0</v>
      </c>
    </row>
    <row r="1000" spans="1:2" x14ac:dyDescent="0.3">
      <c r="A1000" s="38" t="str">
        <f>Lookup!A1000</f>
        <v>A310</v>
      </c>
      <c r="B1000" s="39">
        <f>SUMIFS(ItemInvoiceTracker!C:C,ItemInvoiceTracker!E:E,Data!A1000)</f>
        <v>0</v>
      </c>
    </row>
    <row r="1001" spans="1:2" x14ac:dyDescent="0.3">
      <c r="A1001" s="38" t="str">
        <f>Lookup!A1001</f>
        <v>A311</v>
      </c>
      <c r="B1001" s="39">
        <f>SUMIFS(ItemInvoiceTracker!C:C,ItemInvoiceTracker!E:E,Data!A1001)</f>
        <v>0</v>
      </c>
    </row>
    <row r="1002" spans="1:2" x14ac:dyDescent="0.3">
      <c r="A1002" s="38" t="str">
        <f>Lookup!A1002</f>
        <v>A312</v>
      </c>
      <c r="B1002" s="39">
        <f>SUMIFS(ItemInvoiceTracker!C:C,ItemInvoiceTracker!E:E,Data!A1002)</f>
        <v>0</v>
      </c>
    </row>
    <row r="1003" spans="1:2" x14ac:dyDescent="0.3">
      <c r="A1003" s="38" t="str">
        <f>Lookup!A1003</f>
        <v>A313</v>
      </c>
      <c r="B1003" s="39">
        <f>SUMIFS(ItemInvoiceTracker!C:C,ItemInvoiceTracker!E:E,Data!A1003)</f>
        <v>0</v>
      </c>
    </row>
    <row r="1004" spans="1:2" x14ac:dyDescent="0.3">
      <c r="A1004" s="38" t="str">
        <f>Lookup!A1004</f>
        <v>A314</v>
      </c>
      <c r="B1004" s="39">
        <f>SUMIFS(ItemInvoiceTracker!C:C,ItemInvoiceTracker!E:E,Data!A1004)</f>
        <v>0</v>
      </c>
    </row>
    <row r="1005" spans="1:2" x14ac:dyDescent="0.3">
      <c r="A1005" s="38" t="str">
        <f>Lookup!A1005</f>
        <v>A315</v>
      </c>
      <c r="B1005" s="39">
        <f>SUMIFS(ItemInvoiceTracker!C:C,ItemInvoiceTracker!E:E,Data!A1005)</f>
        <v>0</v>
      </c>
    </row>
    <row r="1006" spans="1:2" x14ac:dyDescent="0.3">
      <c r="A1006" s="38" t="str">
        <f>Lookup!A1006</f>
        <v>A316</v>
      </c>
      <c r="B1006" s="39">
        <f>SUMIFS(ItemInvoiceTracker!C:C,ItemInvoiceTracker!E:E,Data!A1006)</f>
        <v>0</v>
      </c>
    </row>
    <row r="1007" spans="1:2" x14ac:dyDescent="0.3">
      <c r="A1007" s="38" t="str">
        <f>Lookup!A1007</f>
        <v>A317</v>
      </c>
      <c r="B1007" s="39">
        <f>SUMIFS(ItemInvoiceTracker!C:C,ItemInvoiceTracker!E:E,Data!A1007)</f>
        <v>0</v>
      </c>
    </row>
    <row r="1008" spans="1:2" x14ac:dyDescent="0.3">
      <c r="A1008" s="38" t="str">
        <f>Lookup!A1008</f>
        <v>A318</v>
      </c>
      <c r="B1008" s="39">
        <f>SUMIFS(ItemInvoiceTracker!C:C,ItemInvoiceTracker!E:E,Data!A1008)</f>
        <v>0</v>
      </c>
    </row>
    <row r="1009" spans="1:2" x14ac:dyDescent="0.3">
      <c r="A1009" s="38" t="str">
        <f>Lookup!A1009</f>
        <v>A319</v>
      </c>
      <c r="B1009" s="39">
        <f>SUMIFS(ItemInvoiceTracker!C:C,ItemInvoiceTracker!E:E,Data!A1009)</f>
        <v>0</v>
      </c>
    </row>
    <row r="1010" spans="1:2" x14ac:dyDescent="0.3">
      <c r="A1010" s="38" t="str">
        <f>Lookup!A1010</f>
        <v>A320</v>
      </c>
      <c r="B1010" s="39">
        <f>SUMIFS(ItemInvoiceTracker!C:C,ItemInvoiceTracker!E:E,Data!A1010)</f>
        <v>0</v>
      </c>
    </row>
    <row r="1011" spans="1:2" x14ac:dyDescent="0.3">
      <c r="A1011" s="38" t="str">
        <f>Lookup!A1011</f>
        <v>A321</v>
      </c>
      <c r="B1011" s="39">
        <f>SUMIFS(ItemInvoiceTracker!C:C,ItemInvoiceTracker!E:E,Data!A1011)</f>
        <v>0</v>
      </c>
    </row>
    <row r="1012" spans="1:2" x14ac:dyDescent="0.3">
      <c r="A1012" s="38" t="str">
        <f>Lookup!A1012</f>
        <v>A322</v>
      </c>
      <c r="B1012" s="39">
        <f>SUMIFS(ItemInvoiceTracker!C:C,ItemInvoiceTracker!E:E,Data!A1012)</f>
        <v>0</v>
      </c>
    </row>
    <row r="1013" spans="1:2" x14ac:dyDescent="0.3">
      <c r="A1013" s="38" t="str">
        <f>Lookup!A1013</f>
        <v>A323</v>
      </c>
      <c r="B1013" s="39">
        <f>SUMIFS(ItemInvoiceTracker!C:C,ItemInvoiceTracker!E:E,Data!A1013)</f>
        <v>0</v>
      </c>
    </row>
    <row r="1014" spans="1:2" x14ac:dyDescent="0.3">
      <c r="A1014" s="38" t="str">
        <f>Lookup!A1014</f>
        <v>A324</v>
      </c>
      <c r="B1014" s="39">
        <f>SUMIFS(ItemInvoiceTracker!C:C,ItemInvoiceTracker!E:E,Data!A1014)</f>
        <v>0</v>
      </c>
    </row>
    <row r="1015" spans="1:2" x14ac:dyDescent="0.3">
      <c r="A1015" s="38" t="str">
        <f>Lookup!A1015</f>
        <v>A325</v>
      </c>
      <c r="B1015" s="39">
        <f>SUMIFS(ItemInvoiceTracker!C:C,ItemInvoiceTracker!E:E,Data!A1015)</f>
        <v>0</v>
      </c>
    </row>
    <row r="1016" spans="1:2" x14ac:dyDescent="0.3">
      <c r="A1016" s="38" t="str">
        <f>Lookup!A1016</f>
        <v>A326</v>
      </c>
      <c r="B1016" s="39">
        <f>SUMIFS(ItemInvoiceTracker!C:C,ItemInvoiceTracker!E:E,Data!A1016)</f>
        <v>0</v>
      </c>
    </row>
    <row r="1017" spans="1:2" x14ac:dyDescent="0.3">
      <c r="A1017" s="38" t="str">
        <f>Lookup!A1017</f>
        <v>A327</v>
      </c>
      <c r="B1017" s="39">
        <f>SUMIFS(ItemInvoiceTracker!C:C,ItemInvoiceTracker!E:E,Data!A1017)</f>
        <v>0</v>
      </c>
    </row>
    <row r="1018" spans="1:2" x14ac:dyDescent="0.3">
      <c r="A1018" s="38" t="str">
        <f>Lookup!A1018</f>
        <v>A328</v>
      </c>
      <c r="B1018" s="39">
        <f>SUMIFS(ItemInvoiceTracker!C:C,ItemInvoiceTracker!E:E,Data!A1018)</f>
        <v>0</v>
      </c>
    </row>
    <row r="1019" spans="1:2" x14ac:dyDescent="0.3">
      <c r="A1019" s="38" t="str">
        <f>Lookup!A1019</f>
        <v>A329</v>
      </c>
      <c r="B1019" s="39">
        <f>SUMIFS(ItemInvoiceTracker!C:C,ItemInvoiceTracker!E:E,Data!A1019)</f>
        <v>0</v>
      </c>
    </row>
    <row r="1020" spans="1:2" x14ac:dyDescent="0.3">
      <c r="A1020" s="38" t="str">
        <f>Lookup!A1020</f>
        <v>A330</v>
      </c>
      <c r="B1020" s="39">
        <f>SUMIFS(ItemInvoiceTracker!C:C,ItemInvoiceTracker!E:E,Data!A1020)</f>
        <v>0</v>
      </c>
    </row>
    <row r="1021" spans="1:2" x14ac:dyDescent="0.3">
      <c r="A1021" s="38" t="str">
        <f>Lookup!A1021</f>
        <v>A331</v>
      </c>
      <c r="B1021" s="39">
        <f>SUMIFS(ItemInvoiceTracker!C:C,ItemInvoiceTracker!E:E,Data!A1021)</f>
        <v>0</v>
      </c>
    </row>
    <row r="1022" spans="1:2" x14ac:dyDescent="0.3">
      <c r="A1022" s="38" t="str">
        <f>Lookup!A1022</f>
        <v>A332</v>
      </c>
      <c r="B1022" s="39">
        <f>SUMIFS(ItemInvoiceTracker!C:C,ItemInvoiceTracker!E:E,Data!A1022)</f>
        <v>0</v>
      </c>
    </row>
    <row r="1023" spans="1:2" x14ac:dyDescent="0.3">
      <c r="A1023" s="38" t="str">
        <f>Lookup!A1023</f>
        <v>A333</v>
      </c>
      <c r="B1023" s="39">
        <f>SUMIFS(ItemInvoiceTracker!C:C,ItemInvoiceTracker!E:E,Data!A1023)</f>
        <v>0</v>
      </c>
    </row>
    <row r="1024" spans="1:2" x14ac:dyDescent="0.3">
      <c r="A1024" s="38" t="str">
        <f>Lookup!A1024</f>
        <v>A334</v>
      </c>
      <c r="B1024" s="39">
        <f>SUMIFS(ItemInvoiceTracker!C:C,ItemInvoiceTracker!E:E,Data!A1024)</f>
        <v>0</v>
      </c>
    </row>
    <row r="1025" spans="1:2" x14ac:dyDescent="0.3">
      <c r="A1025" s="38" t="str">
        <f>Lookup!A1025</f>
        <v>A335</v>
      </c>
      <c r="B1025" s="39">
        <f>SUMIFS(ItemInvoiceTracker!C:C,ItemInvoiceTracker!E:E,Data!A1025)</f>
        <v>0</v>
      </c>
    </row>
    <row r="1026" spans="1:2" x14ac:dyDescent="0.3">
      <c r="A1026" s="38" t="str">
        <f>Lookup!A1026</f>
        <v>A336</v>
      </c>
      <c r="B1026" s="39">
        <f>SUMIFS(ItemInvoiceTracker!C:C,ItemInvoiceTracker!E:E,Data!A1026)</f>
        <v>0</v>
      </c>
    </row>
    <row r="1027" spans="1:2" x14ac:dyDescent="0.3">
      <c r="A1027" s="38" t="str">
        <f>Lookup!A1027</f>
        <v>A337</v>
      </c>
      <c r="B1027" s="39">
        <f>SUMIFS(ItemInvoiceTracker!C:C,ItemInvoiceTracker!E:E,Data!A1027)</f>
        <v>0</v>
      </c>
    </row>
    <row r="1028" spans="1:2" x14ac:dyDescent="0.3">
      <c r="A1028" s="38" t="str">
        <f>Lookup!A1028</f>
        <v>A338</v>
      </c>
      <c r="B1028" s="39">
        <f>SUMIFS(ItemInvoiceTracker!C:C,ItemInvoiceTracker!E:E,Data!A1028)</f>
        <v>0</v>
      </c>
    </row>
    <row r="1029" spans="1:2" x14ac:dyDescent="0.3">
      <c r="A1029" s="38" t="str">
        <f>Lookup!A1029</f>
        <v>A339</v>
      </c>
      <c r="B1029" s="39">
        <f>SUMIFS(ItemInvoiceTracker!C:C,ItemInvoiceTracker!E:E,Data!A1029)</f>
        <v>0</v>
      </c>
    </row>
    <row r="1030" spans="1:2" x14ac:dyDescent="0.3">
      <c r="A1030" s="38" t="str">
        <f>Lookup!A1030</f>
        <v>A340</v>
      </c>
      <c r="B1030" s="39">
        <f>SUMIFS(ItemInvoiceTracker!C:C,ItemInvoiceTracker!E:E,Data!A1030)</f>
        <v>0</v>
      </c>
    </row>
    <row r="1031" spans="1:2" x14ac:dyDescent="0.3">
      <c r="A1031" s="38" t="str">
        <f>Lookup!A1031</f>
        <v>A341</v>
      </c>
      <c r="B1031" s="39">
        <f>SUMIFS(ItemInvoiceTracker!C:C,ItemInvoiceTracker!E:E,Data!A1031)</f>
        <v>0</v>
      </c>
    </row>
    <row r="1032" spans="1:2" x14ac:dyDescent="0.3">
      <c r="A1032" s="38" t="str">
        <f>Lookup!A1032</f>
        <v>A342</v>
      </c>
      <c r="B1032" s="39">
        <f>SUMIFS(ItemInvoiceTracker!C:C,ItemInvoiceTracker!E:E,Data!A1032)</f>
        <v>0</v>
      </c>
    </row>
    <row r="1033" spans="1:2" x14ac:dyDescent="0.3">
      <c r="A1033" s="38" t="str">
        <f>Lookup!A1033</f>
        <v>A343</v>
      </c>
      <c r="B1033" s="39">
        <f>SUMIFS(ItemInvoiceTracker!C:C,ItemInvoiceTracker!E:E,Data!A1033)</f>
        <v>0</v>
      </c>
    </row>
    <row r="1034" spans="1:2" x14ac:dyDescent="0.3">
      <c r="A1034" s="38" t="str">
        <f>Lookup!A1034</f>
        <v>A344</v>
      </c>
      <c r="B1034" s="39">
        <f>SUMIFS(ItemInvoiceTracker!C:C,ItemInvoiceTracker!E:E,Data!A1034)</f>
        <v>0</v>
      </c>
    </row>
    <row r="1035" spans="1:2" x14ac:dyDescent="0.3">
      <c r="A1035" s="38" t="str">
        <f>Lookup!A1035</f>
        <v>A345</v>
      </c>
      <c r="B1035" s="39">
        <f>SUMIFS(ItemInvoiceTracker!C:C,ItemInvoiceTracker!E:E,Data!A1035)</f>
        <v>0</v>
      </c>
    </row>
    <row r="1036" spans="1:2" x14ac:dyDescent="0.3">
      <c r="A1036" s="38" t="str">
        <f>Lookup!A1036</f>
        <v>A346</v>
      </c>
      <c r="B1036" s="39">
        <f>SUMIFS(ItemInvoiceTracker!C:C,ItemInvoiceTracker!E:E,Data!A1036)</f>
        <v>0</v>
      </c>
    </row>
    <row r="1037" spans="1:2" x14ac:dyDescent="0.3">
      <c r="A1037" s="38" t="str">
        <f>Lookup!A1037</f>
        <v>A347</v>
      </c>
      <c r="B1037" s="39">
        <f>SUMIFS(ItemInvoiceTracker!C:C,ItemInvoiceTracker!E:E,Data!A1037)</f>
        <v>0</v>
      </c>
    </row>
    <row r="1038" spans="1:2" x14ac:dyDescent="0.3">
      <c r="A1038" s="38" t="str">
        <f>Lookup!A1038</f>
        <v>A348</v>
      </c>
      <c r="B1038" s="39">
        <f>SUMIFS(ItemInvoiceTracker!C:C,ItemInvoiceTracker!E:E,Data!A1038)</f>
        <v>0</v>
      </c>
    </row>
    <row r="1039" spans="1:2" x14ac:dyDescent="0.3">
      <c r="A1039" s="38" t="str">
        <f>Lookup!A1039</f>
        <v>A349</v>
      </c>
      <c r="B1039" s="39">
        <f>SUMIFS(ItemInvoiceTracker!C:C,ItemInvoiceTracker!E:E,Data!A1039)</f>
        <v>0</v>
      </c>
    </row>
    <row r="1040" spans="1:2" x14ac:dyDescent="0.3">
      <c r="A1040" s="38" t="str">
        <f>Lookup!A1040</f>
        <v>A350</v>
      </c>
      <c r="B1040" s="39">
        <f>SUMIFS(ItemInvoiceTracker!C:C,ItemInvoiceTracker!E:E,Data!A1040)</f>
        <v>0</v>
      </c>
    </row>
    <row r="1041" spans="1:2" x14ac:dyDescent="0.3">
      <c r="A1041" s="38" t="str">
        <f>Lookup!A1041</f>
        <v>A351</v>
      </c>
      <c r="B1041" s="39">
        <f>SUMIFS(ItemInvoiceTracker!C:C,ItemInvoiceTracker!E:E,Data!A1041)</f>
        <v>0</v>
      </c>
    </row>
    <row r="1042" spans="1:2" x14ac:dyDescent="0.3">
      <c r="A1042" s="38" t="str">
        <f>Lookup!A1042</f>
        <v>A352</v>
      </c>
      <c r="B1042" s="39">
        <f>SUMIFS(ItemInvoiceTracker!C:C,ItemInvoiceTracker!E:E,Data!A1042)</f>
        <v>0</v>
      </c>
    </row>
    <row r="1043" spans="1:2" x14ac:dyDescent="0.3">
      <c r="A1043" s="38" t="str">
        <f>Lookup!A1043</f>
        <v>A353</v>
      </c>
      <c r="B1043" s="39">
        <f>SUMIFS(ItemInvoiceTracker!C:C,ItemInvoiceTracker!E:E,Data!A1043)</f>
        <v>0</v>
      </c>
    </row>
    <row r="1044" spans="1:2" x14ac:dyDescent="0.3">
      <c r="A1044" s="38" t="str">
        <f>Lookup!A1044</f>
        <v>A354</v>
      </c>
      <c r="B1044" s="39">
        <f>SUMIFS(ItemInvoiceTracker!C:C,ItemInvoiceTracker!E:E,Data!A1044)</f>
        <v>0</v>
      </c>
    </row>
    <row r="1045" spans="1:2" x14ac:dyDescent="0.3">
      <c r="A1045" s="38" t="str">
        <f>Lookup!A1045</f>
        <v>A355</v>
      </c>
      <c r="B1045" s="39">
        <f>SUMIFS(ItemInvoiceTracker!C:C,ItemInvoiceTracker!E:E,Data!A1045)</f>
        <v>0</v>
      </c>
    </row>
    <row r="1046" spans="1:2" x14ac:dyDescent="0.3">
      <c r="A1046" s="38" t="str">
        <f>Lookup!A1046</f>
        <v>A356</v>
      </c>
      <c r="B1046" s="39">
        <f>SUMIFS(ItemInvoiceTracker!C:C,ItemInvoiceTracker!E:E,Data!A1046)</f>
        <v>0</v>
      </c>
    </row>
    <row r="1047" spans="1:2" x14ac:dyDescent="0.3">
      <c r="A1047" s="38" t="str">
        <f>Lookup!A1047</f>
        <v>A357</v>
      </c>
      <c r="B1047" s="39">
        <f>SUMIFS(ItemInvoiceTracker!C:C,ItemInvoiceTracker!E:E,Data!A1047)</f>
        <v>0</v>
      </c>
    </row>
    <row r="1048" spans="1:2" x14ac:dyDescent="0.3">
      <c r="A1048" s="38" t="str">
        <f>Lookup!A1048</f>
        <v>A358</v>
      </c>
      <c r="B1048" s="39">
        <f>SUMIFS(ItemInvoiceTracker!C:C,ItemInvoiceTracker!E:E,Data!A1048)</f>
        <v>0</v>
      </c>
    </row>
    <row r="1049" spans="1:2" x14ac:dyDescent="0.3">
      <c r="A1049" s="38" t="str">
        <f>Lookup!A1049</f>
        <v>A359</v>
      </c>
      <c r="B1049" s="39">
        <f>SUMIFS(ItemInvoiceTracker!C:C,ItemInvoiceTracker!E:E,Data!A1049)</f>
        <v>0</v>
      </c>
    </row>
    <row r="1050" spans="1:2" x14ac:dyDescent="0.3">
      <c r="A1050" s="38" t="str">
        <f>Lookup!A1050</f>
        <v>A360</v>
      </c>
      <c r="B1050" s="39">
        <f>SUMIFS(ItemInvoiceTracker!C:C,ItemInvoiceTracker!E:E,Data!A1050)</f>
        <v>0</v>
      </c>
    </row>
    <row r="1051" spans="1:2" x14ac:dyDescent="0.3">
      <c r="A1051" s="38" t="str">
        <f>Lookup!A1051</f>
        <v>A361</v>
      </c>
      <c r="B1051" s="39">
        <f>SUMIFS(ItemInvoiceTracker!C:C,ItemInvoiceTracker!E:E,Data!A1051)</f>
        <v>0</v>
      </c>
    </row>
    <row r="1052" spans="1:2" x14ac:dyDescent="0.3">
      <c r="A1052" s="38" t="str">
        <f>Lookup!A1052</f>
        <v>A362</v>
      </c>
      <c r="B1052" s="39">
        <f>SUMIFS(ItemInvoiceTracker!C:C,ItemInvoiceTracker!E:E,Data!A1052)</f>
        <v>0</v>
      </c>
    </row>
    <row r="1053" spans="1:2" x14ac:dyDescent="0.3">
      <c r="A1053" s="38" t="str">
        <f>Lookup!A1053</f>
        <v>A363</v>
      </c>
      <c r="B1053" s="39">
        <f>SUMIFS(ItemInvoiceTracker!C:C,ItemInvoiceTracker!E:E,Data!A1053)</f>
        <v>0</v>
      </c>
    </row>
    <row r="1054" spans="1:2" x14ac:dyDescent="0.3">
      <c r="A1054" s="38" t="str">
        <f>Lookup!A1054</f>
        <v>A364</v>
      </c>
      <c r="B1054" s="39">
        <f>SUMIFS(ItemInvoiceTracker!C:C,ItemInvoiceTracker!E:E,Data!A1054)</f>
        <v>0</v>
      </c>
    </row>
    <row r="1055" spans="1:2" x14ac:dyDescent="0.3">
      <c r="A1055" s="38" t="str">
        <f>Lookup!A1055</f>
        <v>A365</v>
      </c>
      <c r="B1055" s="39">
        <f>SUMIFS(ItemInvoiceTracker!C:C,ItemInvoiceTracker!E:E,Data!A1055)</f>
        <v>0</v>
      </c>
    </row>
    <row r="1056" spans="1:2" x14ac:dyDescent="0.3">
      <c r="A1056" s="38" t="str">
        <f>Lookup!A1056</f>
        <v>A366</v>
      </c>
      <c r="B1056" s="39">
        <f>SUMIFS(ItemInvoiceTracker!C:C,ItemInvoiceTracker!E:E,Data!A1056)</f>
        <v>0</v>
      </c>
    </row>
    <row r="1057" spans="1:2" x14ac:dyDescent="0.3">
      <c r="A1057" s="38" t="str">
        <f>Lookup!A1057</f>
        <v>A367</v>
      </c>
      <c r="B1057" s="39">
        <f>SUMIFS(ItemInvoiceTracker!C:C,ItemInvoiceTracker!E:E,Data!A1057)</f>
        <v>0</v>
      </c>
    </row>
    <row r="1058" spans="1:2" x14ac:dyDescent="0.3">
      <c r="A1058" s="38" t="str">
        <f>Lookup!A1058</f>
        <v>A368</v>
      </c>
      <c r="B1058" s="39">
        <f>SUMIFS(ItemInvoiceTracker!C:C,ItemInvoiceTracker!E:E,Data!A1058)</f>
        <v>0</v>
      </c>
    </row>
    <row r="1059" spans="1:2" x14ac:dyDescent="0.3">
      <c r="A1059" s="38" t="str">
        <f>Lookup!A1059</f>
        <v>A369</v>
      </c>
      <c r="B1059" s="39">
        <f>SUMIFS(ItemInvoiceTracker!C:C,ItemInvoiceTracker!E:E,Data!A1059)</f>
        <v>0</v>
      </c>
    </row>
    <row r="1060" spans="1:2" x14ac:dyDescent="0.3">
      <c r="A1060" s="38" t="str">
        <f>Lookup!A1060</f>
        <v>A370</v>
      </c>
      <c r="B1060" s="39">
        <f>SUMIFS(ItemInvoiceTracker!C:C,ItemInvoiceTracker!E:E,Data!A1060)</f>
        <v>0</v>
      </c>
    </row>
    <row r="1061" spans="1:2" x14ac:dyDescent="0.3">
      <c r="A1061" s="38" t="str">
        <f>Lookup!A1061</f>
        <v>A371</v>
      </c>
      <c r="B1061" s="39">
        <f>SUMIFS(ItemInvoiceTracker!C:C,ItemInvoiceTracker!E:E,Data!A1061)</f>
        <v>0</v>
      </c>
    </row>
    <row r="1062" spans="1:2" x14ac:dyDescent="0.3">
      <c r="A1062" s="38" t="str">
        <f>Lookup!A1062</f>
        <v>A372</v>
      </c>
      <c r="B1062" s="39">
        <f>SUMIFS(ItemInvoiceTracker!C:C,ItemInvoiceTracker!E:E,Data!A1062)</f>
        <v>0</v>
      </c>
    </row>
    <row r="1063" spans="1:2" x14ac:dyDescent="0.3">
      <c r="A1063" s="38" t="str">
        <f>Lookup!A1063</f>
        <v>A373</v>
      </c>
      <c r="B1063" s="39">
        <f>SUMIFS(ItemInvoiceTracker!C:C,ItemInvoiceTracker!E:E,Data!A1063)</f>
        <v>0</v>
      </c>
    </row>
    <row r="1064" spans="1:2" x14ac:dyDescent="0.3">
      <c r="A1064" s="38" t="str">
        <f>Lookup!A1064</f>
        <v>A374</v>
      </c>
      <c r="B1064" s="39">
        <f>SUMIFS(ItemInvoiceTracker!C:C,ItemInvoiceTracker!E:E,Data!A1064)</f>
        <v>0</v>
      </c>
    </row>
    <row r="1065" spans="1:2" x14ac:dyDescent="0.3">
      <c r="A1065" s="38" t="str">
        <f>Lookup!A1065</f>
        <v>A375</v>
      </c>
      <c r="B1065" s="39">
        <f>SUMIFS(ItemInvoiceTracker!C:C,ItemInvoiceTracker!E:E,Data!A1065)</f>
        <v>0</v>
      </c>
    </row>
    <row r="1066" spans="1:2" x14ac:dyDescent="0.3">
      <c r="A1066" s="38" t="str">
        <f>Lookup!A1066</f>
        <v>A376</v>
      </c>
      <c r="B1066" s="39">
        <f>SUMIFS(ItemInvoiceTracker!C:C,ItemInvoiceTracker!E:E,Data!A1066)</f>
        <v>0</v>
      </c>
    </row>
    <row r="1067" spans="1:2" x14ac:dyDescent="0.3">
      <c r="A1067" s="38" t="str">
        <f>Lookup!A1067</f>
        <v>A377</v>
      </c>
      <c r="B1067" s="39">
        <f>SUMIFS(ItemInvoiceTracker!C:C,ItemInvoiceTracker!E:E,Data!A1067)</f>
        <v>0</v>
      </c>
    </row>
    <row r="1068" spans="1:2" x14ac:dyDescent="0.3">
      <c r="A1068" s="38" t="str">
        <f>Lookup!A1068</f>
        <v>A378</v>
      </c>
      <c r="B1068" s="39">
        <f>SUMIFS(ItemInvoiceTracker!C:C,ItemInvoiceTracker!E:E,Data!A1068)</f>
        <v>0</v>
      </c>
    </row>
    <row r="1069" spans="1:2" x14ac:dyDescent="0.3">
      <c r="A1069" s="38" t="str">
        <f>Lookup!A1069</f>
        <v>A379</v>
      </c>
      <c r="B1069" s="39">
        <f>SUMIFS(ItemInvoiceTracker!C:C,ItemInvoiceTracker!E:E,Data!A1069)</f>
        <v>0</v>
      </c>
    </row>
    <row r="1070" spans="1:2" x14ac:dyDescent="0.3">
      <c r="A1070" s="38" t="str">
        <f>Lookup!A1070</f>
        <v>A380</v>
      </c>
      <c r="B1070" s="39">
        <f>SUMIFS(ItemInvoiceTracker!C:C,ItemInvoiceTracker!E:E,Data!A1070)</f>
        <v>0</v>
      </c>
    </row>
    <row r="1071" spans="1:2" x14ac:dyDescent="0.3">
      <c r="A1071" s="38" t="str">
        <f>Lookup!A1071</f>
        <v>A381</v>
      </c>
      <c r="B1071" s="39">
        <f>SUMIFS(ItemInvoiceTracker!C:C,ItemInvoiceTracker!E:E,Data!A1071)</f>
        <v>0</v>
      </c>
    </row>
    <row r="1072" spans="1:2" x14ac:dyDescent="0.3">
      <c r="A1072" s="38" t="str">
        <f>Lookup!A1072</f>
        <v>A382</v>
      </c>
      <c r="B1072" s="39">
        <f>SUMIFS(ItemInvoiceTracker!C:C,ItemInvoiceTracker!E:E,Data!A1072)</f>
        <v>0</v>
      </c>
    </row>
    <row r="1073" spans="1:2" x14ac:dyDescent="0.3">
      <c r="A1073" s="38" t="str">
        <f>Lookup!A1073</f>
        <v>A383</v>
      </c>
      <c r="B1073" s="39">
        <f>SUMIFS(ItemInvoiceTracker!C:C,ItemInvoiceTracker!E:E,Data!A1073)</f>
        <v>0</v>
      </c>
    </row>
    <row r="1074" spans="1:2" x14ac:dyDescent="0.3">
      <c r="A1074" s="38" t="str">
        <f>Lookup!A1074</f>
        <v>A384</v>
      </c>
      <c r="B1074" s="39">
        <f>SUMIFS(ItemInvoiceTracker!C:C,ItemInvoiceTracker!E:E,Data!A1074)</f>
        <v>0</v>
      </c>
    </row>
    <row r="1075" spans="1:2" x14ac:dyDescent="0.3">
      <c r="A1075" s="38" t="str">
        <f>Lookup!A1075</f>
        <v>A385</v>
      </c>
      <c r="B1075" s="39">
        <f>SUMIFS(ItemInvoiceTracker!C:C,ItemInvoiceTracker!E:E,Data!A1075)</f>
        <v>0</v>
      </c>
    </row>
    <row r="1076" spans="1:2" x14ac:dyDescent="0.3">
      <c r="A1076" s="38" t="str">
        <f>Lookup!A1076</f>
        <v>A386</v>
      </c>
      <c r="B1076" s="39">
        <f>SUMIFS(ItemInvoiceTracker!C:C,ItemInvoiceTracker!E:E,Data!A1076)</f>
        <v>0</v>
      </c>
    </row>
    <row r="1077" spans="1:2" x14ac:dyDescent="0.3">
      <c r="A1077" s="38" t="str">
        <f>Lookup!A1077</f>
        <v>A387</v>
      </c>
      <c r="B1077" s="39">
        <f>SUMIFS(ItemInvoiceTracker!C:C,ItemInvoiceTracker!E:E,Data!A1077)</f>
        <v>0</v>
      </c>
    </row>
    <row r="1078" spans="1:2" x14ac:dyDescent="0.3">
      <c r="A1078" s="38" t="str">
        <f>Lookup!A1078</f>
        <v>A388</v>
      </c>
      <c r="B1078" s="39">
        <f>SUMIFS(ItemInvoiceTracker!C:C,ItemInvoiceTracker!E:E,Data!A1078)</f>
        <v>0</v>
      </c>
    </row>
    <row r="1079" spans="1:2" x14ac:dyDescent="0.3">
      <c r="A1079" s="38" t="str">
        <f>Lookup!A1079</f>
        <v>A389</v>
      </c>
      <c r="B1079" s="39">
        <f>SUMIFS(ItemInvoiceTracker!C:C,ItemInvoiceTracker!E:E,Data!A1079)</f>
        <v>0</v>
      </c>
    </row>
    <row r="1080" spans="1:2" x14ac:dyDescent="0.3">
      <c r="A1080" s="38" t="str">
        <f>Lookup!A1080</f>
        <v>A390</v>
      </c>
      <c r="B1080" s="39">
        <f>SUMIFS(ItemInvoiceTracker!C:C,ItemInvoiceTracker!E:E,Data!A1080)</f>
        <v>0</v>
      </c>
    </row>
    <row r="1081" spans="1:2" x14ac:dyDescent="0.3">
      <c r="A1081" s="38" t="str">
        <f>Lookup!A1081</f>
        <v>A391</v>
      </c>
      <c r="B1081" s="39">
        <f>SUMIFS(ItemInvoiceTracker!C:C,ItemInvoiceTracker!E:E,Data!A1081)</f>
        <v>0</v>
      </c>
    </row>
    <row r="1082" spans="1:2" x14ac:dyDescent="0.3">
      <c r="A1082" s="38" t="str">
        <f>Lookup!A1082</f>
        <v>A392</v>
      </c>
      <c r="B1082" s="39">
        <f>SUMIFS(ItemInvoiceTracker!C:C,ItemInvoiceTracker!E:E,Data!A1082)</f>
        <v>0</v>
      </c>
    </row>
    <row r="1083" spans="1:2" x14ac:dyDescent="0.3">
      <c r="A1083" s="38" t="str">
        <f>Lookup!A1083</f>
        <v>A393</v>
      </c>
      <c r="B1083" s="39">
        <f>SUMIFS(ItemInvoiceTracker!C:C,ItemInvoiceTracker!E:E,Data!A1083)</f>
        <v>0</v>
      </c>
    </row>
    <row r="1084" spans="1:2" x14ac:dyDescent="0.3">
      <c r="A1084" s="38" t="str">
        <f>Lookup!A1084</f>
        <v>A394</v>
      </c>
      <c r="B1084" s="39">
        <f>SUMIFS(ItemInvoiceTracker!C:C,ItemInvoiceTracker!E:E,Data!A1084)</f>
        <v>0</v>
      </c>
    </row>
    <row r="1085" spans="1:2" x14ac:dyDescent="0.3">
      <c r="A1085" s="38" t="str">
        <f>Lookup!A1085</f>
        <v>A395</v>
      </c>
      <c r="B1085" s="39">
        <f>SUMIFS(ItemInvoiceTracker!C:C,ItemInvoiceTracker!E:E,Data!A1085)</f>
        <v>0</v>
      </c>
    </row>
    <row r="1086" spans="1:2" x14ac:dyDescent="0.3">
      <c r="A1086" s="38" t="str">
        <f>Lookup!A1086</f>
        <v>A396</v>
      </c>
      <c r="B1086" s="39">
        <f>SUMIFS(ItemInvoiceTracker!C:C,ItemInvoiceTracker!E:E,Data!A1086)</f>
        <v>0</v>
      </c>
    </row>
    <row r="1087" spans="1:2" x14ac:dyDescent="0.3">
      <c r="A1087" s="38" t="str">
        <f>Lookup!A1087</f>
        <v>A397</v>
      </c>
      <c r="B1087" s="39">
        <f>SUMIFS(ItemInvoiceTracker!C:C,ItemInvoiceTracker!E:E,Data!A1087)</f>
        <v>0</v>
      </c>
    </row>
    <row r="1088" spans="1:2" x14ac:dyDescent="0.3">
      <c r="A1088" s="38" t="str">
        <f>Lookup!A1088</f>
        <v>A398</v>
      </c>
      <c r="B1088" s="39">
        <f>SUMIFS(ItemInvoiceTracker!C:C,ItemInvoiceTracker!E:E,Data!A1088)</f>
        <v>0</v>
      </c>
    </row>
    <row r="1089" spans="1:2" x14ac:dyDescent="0.3">
      <c r="A1089" s="38" t="str">
        <f>Lookup!A1089</f>
        <v>A399</v>
      </c>
      <c r="B1089" s="39">
        <f>SUMIFS(ItemInvoiceTracker!C:C,ItemInvoiceTracker!E:E,Data!A1089)</f>
        <v>0</v>
      </c>
    </row>
    <row r="1090" spans="1:2" x14ac:dyDescent="0.3">
      <c r="A1090" s="38" t="str">
        <f>Lookup!A1090</f>
        <v>A400</v>
      </c>
      <c r="B1090" s="39">
        <f>SUMIFS(ItemInvoiceTracker!C:C,ItemInvoiceTracker!E:E,Data!A1090)</f>
        <v>0</v>
      </c>
    </row>
    <row r="1091" spans="1:2" x14ac:dyDescent="0.3">
      <c r="A1091" s="38" t="str">
        <f>Lookup!A1091</f>
        <v>A401</v>
      </c>
      <c r="B1091" s="39">
        <f>SUMIFS(ItemInvoiceTracker!C:C,ItemInvoiceTracker!E:E,Data!A1091)</f>
        <v>0</v>
      </c>
    </row>
    <row r="1092" spans="1:2" x14ac:dyDescent="0.3">
      <c r="A1092" s="38" t="str">
        <f>Lookup!A1092</f>
        <v>A402</v>
      </c>
      <c r="B1092" s="39">
        <f>SUMIFS(ItemInvoiceTracker!C:C,ItemInvoiceTracker!E:E,Data!A1092)</f>
        <v>0</v>
      </c>
    </row>
    <row r="1093" spans="1:2" x14ac:dyDescent="0.3">
      <c r="A1093" s="38" t="str">
        <f>Lookup!A1093</f>
        <v>A403</v>
      </c>
      <c r="B1093" s="39">
        <f>SUMIFS(ItemInvoiceTracker!C:C,ItemInvoiceTracker!E:E,Data!A1093)</f>
        <v>0</v>
      </c>
    </row>
    <row r="1094" spans="1:2" x14ac:dyDescent="0.3">
      <c r="A1094" s="38" t="str">
        <f>Lookup!A1094</f>
        <v>A404</v>
      </c>
      <c r="B1094" s="39">
        <f>SUMIFS(ItemInvoiceTracker!C:C,ItemInvoiceTracker!E:E,Data!A1094)</f>
        <v>0</v>
      </c>
    </row>
    <row r="1095" spans="1:2" x14ac:dyDescent="0.3">
      <c r="A1095" s="38" t="str">
        <f>Lookup!A1095</f>
        <v>A405</v>
      </c>
      <c r="B1095" s="39">
        <f>SUMIFS(ItemInvoiceTracker!C:C,ItemInvoiceTracker!E:E,Data!A1095)</f>
        <v>0</v>
      </c>
    </row>
    <row r="1096" spans="1:2" x14ac:dyDescent="0.3">
      <c r="A1096" s="38" t="str">
        <f>Lookup!A1096</f>
        <v>A406</v>
      </c>
      <c r="B1096" s="39">
        <f>SUMIFS(ItemInvoiceTracker!C:C,ItemInvoiceTracker!E:E,Data!A1096)</f>
        <v>0</v>
      </c>
    </row>
    <row r="1097" spans="1:2" x14ac:dyDescent="0.3">
      <c r="A1097" s="38" t="str">
        <f>Lookup!A1097</f>
        <v>A407</v>
      </c>
      <c r="B1097" s="39">
        <f>SUMIFS(ItemInvoiceTracker!C:C,ItemInvoiceTracker!E:E,Data!A1097)</f>
        <v>0</v>
      </c>
    </row>
    <row r="1098" spans="1:2" x14ac:dyDescent="0.3">
      <c r="A1098" s="38" t="str">
        <f>Lookup!A1098</f>
        <v>A408</v>
      </c>
      <c r="B1098" s="39">
        <f>SUMIFS(ItemInvoiceTracker!C:C,ItemInvoiceTracker!E:E,Data!A1098)</f>
        <v>0</v>
      </c>
    </row>
    <row r="1099" spans="1:2" x14ac:dyDescent="0.3">
      <c r="A1099" s="38" t="str">
        <f>Lookup!A1099</f>
        <v>A409</v>
      </c>
      <c r="B1099" s="39">
        <f>SUMIFS(ItemInvoiceTracker!C:C,ItemInvoiceTracker!E:E,Data!A1099)</f>
        <v>0</v>
      </c>
    </row>
    <row r="1100" spans="1:2" x14ac:dyDescent="0.3">
      <c r="A1100" s="38" t="str">
        <f>Lookup!A1100</f>
        <v>A410</v>
      </c>
      <c r="B1100" s="39">
        <f>SUMIFS(ItemInvoiceTracker!C:C,ItemInvoiceTracker!E:E,Data!A1100)</f>
        <v>0</v>
      </c>
    </row>
    <row r="1101" spans="1:2" x14ac:dyDescent="0.3">
      <c r="A1101" s="38" t="str">
        <f>Lookup!A1101</f>
        <v>A411</v>
      </c>
      <c r="B1101" s="39">
        <f>SUMIFS(ItemInvoiceTracker!C:C,ItemInvoiceTracker!E:E,Data!A1101)</f>
        <v>0</v>
      </c>
    </row>
    <row r="1102" spans="1:2" x14ac:dyDescent="0.3">
      <c r="A1102" s="38" t="str">
        <f>Lookup!A1102</f>
        <v>A412</v>
      </c>
      <c r="B1102" s="39">
        <f>SUMIFS(ItemInvoiceTracker!C:C,ItemInvoiceTracker!E:E,Data!A1102)</f>
        <v>0</v>
      </c>
    </row>
    <row r="1103" spans="1:2" x14ac:dyDescent="0.3">
      <c r="A1103" s="38" t="str">
        <f>Lookup!A1103</f>
        <v>A413</v>
      </c>
      <c r="B1103" s="39">
        <f>SUMIFS(ItemInvoiceTracker!C:C,ItemInvoiceTracker!E:E,Data!A1103)</f>
        <v>0</v>
      </c>
    </row>
    <row r="1104" spans="1:2" x14ac:dyDescent="0.3">
      <c r="A1104" s="38" t="str">
        <f>Lookup!A1104</f>
        <v>A414</v>
      </c>
      <c r="B1104" s="39">
        <f>SUMIFS(ItemInvoiceTracker!C:C,ItemInvoiceTracker!E:E,Data!A1104)</f>
        <v>0</v>
      </c>
    </row>
    <row r="1105" spans="1:2" x14ac:dyDescent="0.3">
      <c r="A1105" s="38" t="str">
        <f>Lookup!A1105</f>
        <v>A415</v>
      </c>
      <c r="B1105" s="39">
        <f>SUMIFS(ItemInvoiceTracker!C:C,ItemInvoiceTracker!E:E,Data!A1105)</f>
        <v>0</v>
      </c>
    </row>
    <row r="1106" spans="1:2" x14ac:dyDescent="0.3">
      <c r="A1106" s="38" t="str">
        <f>Lookup!A1106</f>
        <v>A416</v>
      </c>
      <c r="B1106" s="39">
        <f>SUMIFS(ItemInvoiceTracker!C:C,ItemInvoiceTracker!E:E,Data!A1106)</f>
        <v>0</v>
      </c>
    </row>
    <row r="1107" spans="1:2" x14ac:dyDescent="0.3">
      <c r="A1107" s="38" t="str">
        <f>Lookup!A1107</f>
        <v>A417</v>
      </c>
      <c r="B1107" s="39">
        <f>SUMIFS(ItemInvoiceTracker!C:C,ItemInvoiceTracker!E:E,Data!A1107)</f>
        <v>0</v>
      </c>
    </row>
    <row r="1108" spans="1:2" x14ac:dyDescent="0.3">
      <c r="A1108" s="38" t="str">
        <f>Lookup!A1108</f>
        <v>A418</v>
      </c>
      <c r="B1108" s="39">
        <f>SUMIFS(ItemInvoiceTracker!C:C,ItemInvoiceTracker!E:E,Data!A1108)</f>
        <v>0</v>
      </c>
    </row>
    <row r="1109" spans="1:2" x14ac:dyDescent="0.3">
      <c r="A1109" s="38" t="str">
        <f>Lookup!A1109</f>
        <v>A419</v>
      </c>
      <c r="B1109" s="39">
        <f>SUMIFS(ItemInvoiceTracker!C:C,ItemInvoiceTracker!E:E,Data!A1109)</f>
        <v>0</v>
      </c>
    </row>
    <row r="1110" spans="1:2" x14ac:dyDescent="0.3">
      <c r="A1110" s="38" t="str">
        <f>Lookup!A1110</f>
        <v>A420</v>
      </c>
      <c r="B1110" s="39">
        <f>SUMIFS(ItemInvoiceTracker!C:C,ItemInvoiceTracker!E:E,Data!A1110)</f>
        <v>0</v>
      </c>
    </row>
    <row r="1111" spans="1:2" x14ac:dyDescent="0.3">
      <c r="A1111" s="38" t="str">
        <f>Lookup!A1111</f>
        <v>A421</v>
      </c>
      <c r="B1111" s="39">
        <f>SUMIFS(ItemInvoiceTracker!C:C,ItemInvoiceTracker!E:E,Data!A1111)</f>
        <v>0</v>
      </c>
    </row>
    <row r="1112" spans="1:2" x14ac:dyDescent="0.3">
      <c r="A1112" s="38" t="str">
        <f>Lookup!A1112</f>
        <v>A422</v>
      </c>
      <c r="B1112" s="39">
        <f>SUMIFS(ItemInvoiceTracker!C:C,ItemInvoiceTracker!E:E,Data!A1112)</f>
        <v>0</v>
      </c>
    </row>
    <row r="1113" spans="1:2" x14ac:dyDescent="0.3">
      <c r="A1113" s="38" t="str">
        <f>Lookup!A1113</f>
        <v>A423</v>
      </c>
      <c r="B1113" s="39">
        <f>SUMIFS(ItemInvoiceTracker!C:C,ItemInvoiceTracker!E:E,Data!A1113)</f>
        <v>0</v>
      </c>
    </row>
    <row r="1114" spans="1:2" x14ac:dyDescent="0.3">
      <c r="A1114" s="38" t="str">
        <f>Lookup!A1114</f>
        <v>A424</v>
      </c>
      <c r="B1114" s="39">
        <f>SUMIFS(ItemInvoiceTracker!C:C,ItemInvoiceTracker!E:E,Data!A1114)</f>
        <v>0</v>
      </c>
    </row>
    <row r="1115" spans="1:2" x14ac:dyDescent="0.3">
      <c r="A1115" s="38" t="str">
        <f>Lookup!A1115</f>
        <v>A425</v>
      </c>
      <c r="B1115" s="39">
        <f>SUMIFS(ItemInvoiceTracker!C:C,ItemInvoiceTracker!E:E,Data!A1115)</f>
        <v>0</v>
      </c>
    </row>
    <row r="1116" spans="1:2" x14ac:dyDescent="0.3">
      <c r="A1116" s="38" t="str">
        <f>Lookup!A1116</f>
        <v>A426</v>
      </c>
      <c r="B1116" s="39">
        <f>SUMIFS(ItemInvoiceTracker!C:C,ItemInvoiceTracker!E:E,Data!A1116)</f>
        <v>0</v>
      </c>
    </row>
    <row r="1117" spans="1:2" x14ac:dyDescent="0.3">
      <c r="A1117" s="38" t="str">
        <f>Lookup!A1117</f>
        <v>A427</v>
      </c>
      <c r="B1117" s="39">
        <f>SUMIFS(ItemInvoiceTracker!C:C,ItemInvoiceTracker!E:E,Data!A1117)</f>
        <v>0</v>
      </c>
    </row>
    <row r="1118" spans="1:2" x14ac:dyDescent="0.3">
      <c r="A1118" s="38" t="str">
        <f>Lookup!A1118</f>
        <v>A428</v>
      </c>
      <c r="B1118" s="39">
        <f>SUMIFS(ItemInvoiceTracker!C:C,ItemInvoiceTracker!E:E,Data!A1118)</f>
        <v>0</v>
      </c>
    </row>
    <row r="1119" spans="1:2" x14ac:dyDescent="0.3">
      <c r="A1119" s="38" t="str">
        <f>Lookup!A1119</f>
        <v>A429</v>
      </c>
      <c r="B1119" s="39">
        <f>SUMIFS(ItemInvoiceTracker!C:C,ItemInvoiceTracker!E:E,Data!A1119)</f>
        <v>0</v>
      </c>
    </row>
    <row r="1120" spans="1:2" x14ac:dyDescent="0.3">
      <c r="A1120" s="38" t="str">
        <f>Lookup!A1120</f>
        <v>A430</v>
      </c>
      <c r="B1120" s="39">
        <f>SUMIFS(ItemInvoiceTracker!C:C,ItemInvoiceTracker!E:E,Data!A1120)</f>
        <v>0</v>
      </c>
    </row>
    <row r="1121" spans="1:2" x14ac:dyDescent="0.3">
      <c r="A1121" s="38" t="str">
        <f>Lookup!A1121</f>
        <v>A431</v>
      </c>
      <c r="B1121" s="39">
        <f>SUMIFS(ItemInvoiceTracker!C:C,ItemInvoiceTracker!E:E,Data!A1121)</f>
        <v>0</v>
      </c>
    </row>
    <row r="1122" spans="1:2" x14ac:dyDescent="0.3">
      <c r="A1122" s="38" t="str">
        <f>Lookup!A1122</f>
        <v>A432</v>
      </c>
      <c r="B1122" s="39">
        <f>SUMIFS(ItemInvoiceTracker!C:C,ItemInvoiceTracker!E:E,Data!A1122)</f>
        <v>0</v>
      </c>
    </row>
    <row r="1123" spans="1:2" x14ac:dyDescent="0.3">
      <c r="A1123" s="38" t="str">
        <f>Lookup!A1123</f>
        <v>A433</v>
      </c>
      <c r="B1123" s="39">
        <f>SUMIFS(ItemInvoiceTracker!C:C,ItemInvoiceTracker!E:E,Data!A1123)</f>
        <v>0</v>
      </c>
    </row>
    <row r="1124" spans="1:2" x14ac:dyDescent="0.3">
      <c r="A1124" s="38" t="str">
        <f>Lookup!A1124</f>
        <v>A434</v>
      </c>
      <c r="B1124" s="39">
        <f>SUMIFS(ItemInvoiceTracker!C:C,ItemInvoiceTracker!E:E,Data!A1124)</f>
        <v>0</v>
      </c>
    </row>
    <row r="1125" spans="1:2" x14ac:dyDescent="0.3">
      <c r="A1125" s="38" t="str">
        <f>Lookup!A1125</f>
        <v>A435</v>
      </c>
      <c r="B1125" s="39">
        <f>SUMIFS(ItemInvoiceTracker!C:C,ItemInvoiceTracker!E:E,Data!A1125)</f>
        <v>0</v>
      </c>
    </row>
    <row r="1126" spans="1:2" x14ac:dyDescent="0.3">
      <c r="A1126" s="38" t="str">
        <f>Lookup!A1126</f>
        <v>A436</v>
      </c>
      <c r="B1126" s="39">
        <f>SUMIFS(ItemInvoiceTracker!C:C,ItemInvoiceTracker!E:E,Data!A1126)</f>
        <v>0</v>
      </c>
    </row>
    <row r="1127" spans="1:2" x14ac:dyDescent="0.3">
      <c r="A1127" s="38" t="str">
        <f>Lookup!A1127</f>
        <v>A437</v>
      </c>
      <c r="B1127" s="39">
        <f>SUMIFS(ItemInvoiceTracker!C:C,ItemInvoiceTracker!E:E,Data!A1127)</f>
        <v>0</v>
      </c>
    </row>
    <row r="1128" spans="1:2" x14ac:dyDescent="0.3">
      <c r="A1128" s="38" t="str">
        <f>Lookup!A1128</f>
        <v>A438</v>
      </c>
      <c r="B1128" s="39">
        <f>SUMIFS(ItemInvoiceTracker!C:C,ItemInvoiceTracker!E:E,Data!A1128)</f>
        <v>0</v>
      </c>
    </row>
    <row r="1129" spans="1:2" x14ac:dyDescent="0.3">
      <c r="A1129" s="38" t="str">
        <f>Lookup!A1129</f>
        <v>A439</v>
      </c>
      <c r="B1129" s="39">
        <f>SUMIFS(ItemInvoiceTracker!C:C,ItemInvoiceTracker!E:E,Data!A1129)</f>
        <v>0</v>
      </c>
    </row>
    <row r="1130" spans="1:2" x14ac:dyDescent="0.3">
      <c r="A1130" s="38" t="str">
        <f>Lookup!A1130</f>
        <v>A440</v>
      </c>
      <c r="B1130" s="39">
        <f>SUMIFS(ItemInvoiceTracker!C:C,ItemInvoiceTracker!E:E,Data!A1130)</f>
        <v>0</v>
      </c>
    </row>
    <row r="1131" spans="1:2" x14ac:dyDescent="0.3">
      <c r="A1131" s="38" t="str">
        <f>Lookup!A1131</f>
        <v>A441</v>
      </c>
      <c r="B1131" s="39">
        <f>SUMIFS(ItemInvoiceTracker!C:C,ItemInvoiceTracker!E:E,Data!A1131)</f>
        <v>0</v>
      </c>
    </row>
    <row r="1132" spans="1:2" x14ac:dyDescent="0.3">
      <c r="A1132" s="38" t="str">
        <f>Lookup!A1132</f>
        <v>A442</v>
      </c>
      <c r="B1132" s="39">
        <f>SUMIFS(ItemInvoiceTracker!C:C,ItemInvoiceTracker!E:E,Data!A1132)</f>
        <v>0</v>
      </c>
    </row>
    <row r="1133" spans="1:2" x14ac:dyDescent="0.3">
      <c r="A1133" s="38" t="str">
        <f>Lookup!A1133</f>
        <v>A443</v>
      </c>
      <c r="B1133" s="39">
        <f>SUMIFS(ItemInvoiceTracker!C:C,ItemInvoiceTracker!E:E,Data!A1133)</f>
        <v>0</v>
      </c>
    </row>
    <row r="1134" spans="1:2" x14ac:dyDescent="0.3">
      <c r="A1134" s="38" t="str">
        <f>Lookup!A1134</f>
        <v>A444</v>
      </c>
      <c r="B1134" s="39">
        <f>SUMIFS(ItemInvoiceTracker!C:C,ItemInvoiceTracker!E:E,Data!A1134)</f>
        <v>0</v>
      </c>
    </row>
    <row r="1135" spans="1:2" x14ac:dyDescent="0.3">
      <c r="A1135" s="38" t="str">
        <f>Lookup!A1135</f>
        <v>A445</v>
      </c>
      <c r="B1135" s="39">
        <f>SUMIFS(ItemInvoiceTracker!C:C,ItemInvoiceTracker!E:E,Data!A1135)</f>
        <v>0</v>
      </c>
    </row>
    <row r="1136" spans="1:2" x14ac:dyDescent="0.3">
      <c r="A1136" s="38" t="str">
        <f>Lookup!A1136</f>
        <v>A446</v>
      </c>
      <c r="B1136" s="39">
        <f>SUMIFS(ItemInvoiceTracker!C:C,ItemInvoiceTracker!E:E,Data!A1136)</f>
        <v>0</v>
      </c>
    </row>
    <row r="1137" spans="1:2" x14ac:dyDescent="0.3">
      <c r="A1137" s="38" t="str">
        <f>Lookup!A1137</f>
        <v>A447</v>
      </c>
      <c r="B1137" s="39">
        <f>SUMIFS(ItemInvoiceTracker!C:C,ItemInvoiceTracker!E:E,Data!A1137)</f>
        <v>0</v>
      </c>
    </row>
    <row r="1138" spans="1:2" x14ac:dyDescent="0.3">
      <c r="A1138" s="38" t="str">
        <f>Lookup!A1138</f>
        <v>A448</v>
      </c>
      <c r="B1138" s="39">
        <f>SUMIFS(ItemInvoiceTracker!C:C,ItemInvoiceTracker!E:E,Data!A1138)</f>
        <v>0</v>
      </c>
    </row>
    <row r="1139" spans="1:2" x14ac:dyDescent="0.3">
      <c r="A1139" s="38" t="str">
        <f>Lookup!A1139</f>
        <v>A449</v>
      </c>
      <c r="B1139" s="39">
        <f>SUMIFS(ItemInvoiceTracker!C:C,ItemInvoiceTracker!E:E,Data!A1139)</f>
        <v>0</v>
      </c>
    </row>
    <row r="1140" spans="1:2" x14ac:dyDescent="0.3">
      <c r="A1140" s="38" t="str">
        <f>Lookup!A1140</f>
        <v>A450</v>
      </c>
      <c r="B1140" s="39">
        <f>SUMIFS(ItemInvoiceTracker!C:C,ItemInvoiceTracker!E:E,Data!A1140)</f>
        <v>0</v>
      </c>
    </row>
    <row r="1141" spans="1:2" x14ac:dyDescent="0.3">
      <c r="A1141" s="38" t="str">
        <f>Lookup!A1141</f>
        <v>A451</v>
      </c>
      <c r="B1141" s="39">
        <f>SUMIFS(ItemInvoiceTracker!C:C,ItemInvoiceTracker!E:E,Data!A1141)</f>
        <v>0</v>
      </c>
    </row>
    <row r="1142" spans="1:2" x14ac:dyDescent="0.3">
      <c r="A1142" s="38" t="str">
        <f>Lookup!A1142</f>
        <v>A452</v>
      </c>
      <c r="B1142" s="39">
        <f>SUMIFS(ItemInvoiceTracker!C:C,ItemInvoiceTracker!E:E,Data!A1142)</f>
        <v>0</v>
      </c>
    </row>
    <row r="1143" spans="1:2" x14ac:dyDescent="0.3">
      <c r="A1143" s="38" t="str">
        <f>Lookup!A1143</f>
        <v>A453</v>
      </c>
      <c r="B1143" s="39">
        <f>SUMIFS(ItemInvoiceTracker!C:C,ItemInvoiceTracker!E:E,Data!A1143)</f>
        <v>0</v>
      </c>
    </row>
    <row r="1144" spans="1:2" x14ac:dyDescent="0.3">
      <c r="A1144" s="38" t="str">
        <f>Lookup!A1144</f>
        <v>A454</v>
      </c>
      <c r="B1144" s="39">
        <f>SUMIFS(ItemInvoiceTracker!C:C,ItemInvoiceTracker!E:E,Data!A1144)</f>
        <v>0</v>
      </c>
    </row>
    <row r="1145" spans="1:2" x14ac:dyDescent="0.3">
      <c r="A1145" s="38" t="str">
        <f>Lookup!A1145</f>
        <v>A455</v>
      </c>
      <c r="B1145" s="39">
        <f>SUMIFS(ItemInvoiceTracker!C:C,ItemInvoiceTracker!E:E,Data!A1145)</f>
        <v>0</v>
      </c>
    </row>
    <row r="1146" spans="1:2" x14ac:dyDescent="0.3">
      <c r="A1146" s="38" t="str">
        <f>Lookup!A1146</f>
        <v>A456</v>
      </c>
      <c r="B1146" s="39">
        <f>SUMIFS(ItemInvoiceTracker!C:C,ItemInvoiceTracker!E:E,Data!A1146)</f>
        <v>0</v>
      </c>
    </row>
    <row r="1147" spans="1:2" x14ac:dyDescent="0.3">
      <c r="A1147" s="38" t="str">
        <f>Lookup!A1147</f>
        <v>A457</v>
      </c>
      <c r="B1147" s="39">
        <f>SUMIFS(ItemInvoiceTracker!C:C,ItemInvoiceTracker!E:E,Data!A1147)</f>
        <v>0</v>
      </c>
    </row>
    <row r="1148" spans="1:2" x14ac:dyDescent="0.3">
      <c r="A1148" s="38" t="str">
        <f>Lookup!A1148</f>
        <v>A458</v>
      </c>
      <c r="B1148" s="39">
        <f>SUMIFS(ItemInvoiceTracker!C:C,ItemInvoiceTracker!E:E,Data!A1148)</f>
        <v>0</v>
      </c>
    </row>
    <row r="1149" spans="1:2" x14ac:dyDescent="0.3">
      <c r="A1149" s="38" t="str">
        <f>Lookup!A1149</f>
        <v>A459</v>
      </c>
      <c r="B1149" s="39">
        <f>SUMIFS(ItemInvoiceTracker!C:C,ItemInvoiceTracker!E:E,Data!A1149)</f>
        <v>0</v>
      </c>
    </row>
    <row r="1150" spans="1:2" x14ac:dyDescent="0.3">
      <c r="A1150" s="38" t="str">
        <f>Lookup!A1150</f>
        <v>A460</v>
      </c>
      <c r="B1150" s="39">
        <f>SUMIFS(ItemInvoiceTracker!C:C,ItemInvoiceTracker!E:E,Data!A1150)</f>
        <v>0</v>
      </c>
    </row>
    <row r="1151" spans="1:2" x14ac:dyDescent="0.3">
      <c r="A1151" s="38" t="str">
        <f>Lookup!A1151</f>
        <v>A461</v>
      </c>
      <c r="B1151" s="39">
        <f>SUMIFS(ItemInvoiceTracker!C:C,ItemInvoiceTracker!E:E,Data!A1151)</f>
        <v>0</v>
      </c>
    </row>
    <row r="1152" spans="1:2" x14ac:dyDescent="0.3">
      <c r="A1152" s="38" t="str">
        <f>Lookup!A1152</f>
        <v>A462</v>
      </c>
      <c r="B1152" s="39">
        <f>SUMIFS(ItemInvoiceTracker!C:C,ItemInvoiceTracker!E:E,Data!A1152)</f>
        <v>0</v>
      </c>
    </row>
    <row r="1153" spans="1:2" x14ac:dyDescent="0.3">
      <c r="A1153" s="38" t="str">
        <f>Lookup!A1153</f>
        <v>A463</v>
      </c>
      <c r="B1153" s="39">
        <f>SUMIFS(ItemInvoiceTracker!C:C,ItemInvoiceTracker!E:E,Data!A1153)</f>
        <v>0</v>
      </c>
    </row>
    <row r="1154" spans="1:2" x14ac:dyDescent="0.3">
      <c r="A1154" s="38" t="str">
        <f>Lookup!A1154</f>
        <v>A464</v>
      </c>
      <c r="B1154" s="39">
        <f>SUMIFS(ItemInvoiceTracker!C:C,ItemInvoiceTracker!E:E,Data!A1154)</f>
        <v>0</v>
      </c>
    </row>
    <row r="1155" spans="1:2" x14ac:dyDescent="0.3">
      <c r="A1155" s="38" t="str">
        <f>Lookup!A1155</f>
        <v>A465</v>
      </c>
      <c r="B1155" s="39">
        <f>SUMIFS(ItemInvoiceTracker!C:C,ItemInvoiceTracker!E:E,Data!A1155)</f>
        <v>0</v>
      </c>
    </row>
    <row r="1156" spans="1:2" x14ac:dyDescent="0.3">
      <c r="A1156" s="38" t="str">
        <f>Lookup!A1156</f>
        <v>A466</v>
      </c>
      <c r="B1156" s="39">
        <f>SUMIFS(ItemInvoiceTracker!C:C,ItemInvoiceTracker!E:E,Data!A1156)</f>
        <v>0</v>
      </c>
    </row>
    <row r="1157" spans="1:2" x14ac:dyDescent="0.3">
      <c r="A1157" s="38" t="str">
        <f>Lookup!A1157</f>
        <v>A467</v>
      </c>
      <c r="B1157" s="39">
        <f>SUMIFS(ItemInvoiceTracker!C:C,ItemInvoiceTracker!E:E,Data!A1157)</f>
        <v>0</v>
      </c>
    </row>
    <row r="1158" spans="1:2" x14ac:dyDescent="0.3">
      <c r="A1158" s="38" t="str">
        <f>Lookup!A1158</f>
        <v>A468</v>
      </c>
      <c r="B1158" s="39">
        <f>SUMIFS(ItemInvoiceTracker!C:C,ItemInvoiceTracker!E:E,Data!A1158)</f>
        <v>0</v>
      </c>
    </row>
    <row r="1159" spans="1:2" x14ac:dyDescent="0.3">
      <c r="A1159" s="38" t="str">
        <f>Lookup!A1159</f>
        <v>A469</v>
      </c>
      <c r="B1159" s="39">
        <f>SUMIFS(ItemInvoiceTracker!C:C,ItemInvoiceTracker!E:E,Data!A1159)</f>
        <v>0</v>
      </c>
    </row>
    <row r="1160" spans="1:2" x14ac:dyDescent="0.3">
      <c r="A1160" s="38" t="str">
        <f>Lookup!A1160</f>
        <v>A470</v>
      </c>
      <c r="B1160" s="39">
        <f>SUMIFS(ItemInvoiceTracker!C:C,ItemInvoiceTracker!E:E,Data!A1160)</f>
        <v>0</v>
      </c>
    </row>
    <row r="1161" spans="1:2" x14ac:dyDescent="0.3">
      <c r="A1161" s="38" t="str">
        <f>Lookup!A1161</f>
        <v>A471</v>
      </c>
      <c r="B1161" s="39">
        <f>SUMIFS(ItemInvoiceTracker!C:C,ItemInvoiceTracker!E:E,Data!A1161)</f>
        <v>0</v>
      </c>
    </row>
    <row r="1162" spans="1:2" x14ac:dyDescent="0.3">
      <c r="A1162" s="38" t="str">
        <f>Lookup!A1162</f>
        <v>A472</v>
      </c>
      <c r="B1162" s="39">
        <f>SUMIFS(ItemInvoiceTracker!C:C,ItemInvoiceTracker!E:E,Data!A1162)</f>
        <v>0</v>
      </c>
    </row>
    <row r="1163" spans="1:2" x14ac:dyDescent="0.3">
      <c r="A1163" s="38" t="str">
        <f>Lookup!A1163</f>
        <v>A473</v>
      </c>
      <c r="B1163" s="39">
        <f>SUMIFS(ItemInvoiceTracker!C:C,ItemInvoiceTracker!E:E,Data!A1163)</f>
        <v>0</v>
      </c>
    </row>
    <row r="1164" spans="1:2" x14ac:dyDescent="0.3">
      <c r="A1164" s="38" t="str">
        <f>Lookup!A1164</f>
        <v>A474</v>
      </c>
      <c r="B1164" s="39">
        <f>SUMIFS(ItemInvoiceTracker!C:C,ItemInvoiceTracker!E:E,Data!A1164)</f>
        <v>0</v>
      </c>
    </row>
    <row r="1165" spans="1:2" x14ac:dyDescent="0.3">
      <c r="A1165" s="38" t="str">
        <f>Lookup!A1165</f>
        <v>A475</v>
      </c>
      <c r="B1165" s="39">
        <f>SUMIFS(ItemInvoiceTracker!C:C,ItemInvoiceTracker!E:E,Data!A1165)</f>
        <v>0</v>
      </c>
    </row>
    <row r="1166" spans="1:2" x14ac:dyDescent="0.3">
      <c r="A1166" s="38" t="str">
        <f>Lookup!A1166</f>
        <v>A476</v>
      </c>
      <c r="B1166" s="39">
        <f>SUMIFS(ItemInvoiceTracker!C:C,ItemInvoiceTracker!E:E,Data!A1166)</f>
        <v>0</v>
      </c>
    </row>
    <row r="1167" spans="1:2" x14ac:dyDescent="0.3">
      <c r="A1167" s="38" t="str">
        <f>Lookup!A1167</f>
        <v>A477</v>
      </c>
      <c r="B1167" s="39">
        <f>SUMIFS(ItemInvoiceTracker!C:C,ItemInvoiceTracker!E:E,Data!A1167)</f>
        <v>0</v>
      </c>
    </row>
    <row r="1168" spans="1:2" x14ac:dyDescent="0.3">
      <c r="A1168" s="38" t="str">
        <f>Lookup!A1168</f>
        <v>A478</v>
      </c>
      <c r="B1168" s="39">
        <f>SUMIFS(ItemInvoiceTracker!C:C,ItemInvoiceTracker!E:E,Data!A1168)</f>
        <v>0</v>
      </c>
    </row>
    <row r="1169" spans="1:2" x14ac:dyDescent="0.3">
      <c r="A1169" s="38" t="str">
        <f>Lookup!A1169</f>
        <v>A479</v>
      </c>
      <c r="B1169" s="39">
        <f>SUMIFS(ItemInvoiceTracker!C:C,ItemInvoiceTracker!E:E,Data!A1169)</f>
        <v>0</v>
      </c>
    </row>
    <row r="1170" spans="1:2" x14ac:dyDescent="0.3">
      <c r="A1170" s="38" t="str">
        <f>Lookup!A1170</f>
        <v>A480</v>
      </c>
      <c r="B1170" s="39">
        <f>SUMIFS(ItemInvoiceTracker!C:C,ItemInvoiceTracker!E:E,Data!A1170)</f>
        <v>0</v>
      </c>
    </row>
    <row r="1171" spans="1:2" x14ac:dyDescent="0.3">
      <c r="A1171" s="38" t="str">
        <f>Lookup!A1171</f>
        <v>A481</v>
      </c>
      <c r="B1171" s="39">
        <f>SUMIFS(ItemInvoiceTracker!C:C,ItemInvoiceTracker!E:E,Data!A1171)</f>
        <v>0</v>
      </c>
    </row>
    <row r="1172" spans="1:2" x14ac:dyDescent="0.3">
      <c r="A1172" s="38" t="str">
        <f>Lookup!A1172</f>
        <v>A482</v>
      </c>
      <c r="B1172" s="39">
        <f>SUMIFS(ItemInvoiceTracker!C:C,ItemInvoiceTracker!E:E,Data!A1172)</f>
        <v>0</v>
      </c>
    </row>
    <row r="1173" spans="1:2" x14ac:dyDescent="0.3">
      <c r="A1173" s="38" t="str">
        <f>Lookup!A1173</f>
        <v>A483</v>
      </c>
      <c r="B1173" s="39">
        <f>SUMIFS(ItemInvoiceTracker!C:C,ItemInvoiceTracker!E:E,Data!A1173)</f>
        <v>0</v>
      </c>
    </row>
    <row r="1174" spans="1:2" x14ac:dyDescent="0.3">
      <c r="A1174" s="38" t="str">
        <f>Lookup!A1174</f>
        <v>A484</v>
      </c>
      <c r="B1174" s="39">
        <f>SUMIFS(ItemInvoiceTracker!C:C,ItemInvoiceTracker!E:E,Data!A1174)</f>
        <v>0</v>
      </c>
    </row>
    <row r="1175" spans="1:2" x14ac:dyDescent="0.3">
      <c r="A1175" s="38" t="str">
        <f>Lookup!A1175</f>
        <v>A485</v>
      </c>
      <c r="B1175" s="39">
        <f>SUMIFS(ItemInvoiceTracker!C:C,ItemInvoiceTracker!E:E,Data!A1175)</f>
        <v>0</v>
      </c>
    </row>
    <row r="1176" spans="1:2" x14ac:dyDescent="0.3">
      <c r="A1176" s="38" t="str">
        <f>Lookup!A1176</f>
        <v>A486</v>
      </c>
      <c r="B1176" s="39">
        <f>SUMIFS(ItemInvoiceTracker!C:C,ItemInvoiceTracker!E:E,Data!A1176)</f>
        <v>0</v>
      </c>
    </row>
    <row r="1177" spans="1:2" x14ac:dyDescent="0.3">
      <c r="A1177" s="38" t="str">
        <f>Lookup!A1177</f>
        <v>A487</v>
      </c>
      <c r="B1177" s="39">
        <f>SUMIFS(ItemInvoiceTracker!C:C,ItemInvoiceTracker!E:E,Data!A1177)</f>
        <v>0</v>
      </c>
    </row>
    <row r="1178" spans="1:2" x14ac:dyDescent="0.3">
      <c r="A1178" s="38" t="str">
        <f>Lookup!A1178</f>
        <v>A488</v>
      </c>
      <c r="B1178" s="39">
        <f>SUMIFS(ItemInvoiceTracker!C:C,ItemInvoiceTracker!E:E,Data!A1178)</f>
        <v>0</v>
      </c>
    </row>
    <row r="1179" spans="1:2" x14ac:dyDescent="0.3">
      <c r="A1179" s="38" t="str">
        <f>Lookup!A1179</f>
        <v>A489</v>
      </c>
      <c r="B1179" s="39">
        <f>SUMIFS(ItemInvoiceTracker!C:C,ItemInvoiceTracker!E:E,Data!A1179)</f>
        <v>0</v>
      </c>
    </row>
    <row r="1180" spans="1:2" x14ac:dyDescent="0.3">
      <c r="A1180" s="38" t="str">
        <f>Lookup!A1180</f>
        <v>A490</v>
      </c>
      <c r="B1180" s="39">
        <f>SUMIFS(ItemInvoiceTracker!C:C,ItemInvoiceTracker!E:E,Data!A1180)</f>
        <v>0</v>
      </c>
    </row>
    <row r="1181" spans="1:2" x14ac:dyDescent="0.3">
      <c r="A1181" s="38" t="str">
        <f>Lookup!A1181</f>
        <v>A491</v>
      </c>
      <c r="B1181" s="39">
        <f>SUMIFS(ItemInvoiceTracker!C:C,ItemInvoiceTracker!E:E,Data!A1181)</f>
        <v>0</v>
      </c>
    </row>
    <row r="1182" spans="1:2" x14ac:dyDescent="0.3">
      <c r="A1182" s="38" t="str">
        <f>Lookup!A1182</f>
        <v>A492</v>
      </c>
      <c r="B1182" s="39">
        <f>SUMIFS(ItemInvoiceTracker!C:C,ItemInvoiceTracker!E:E,Data!A1182)</f>
        <v>0</v>
      </c>
    </row>
    <row r="1183" spans="1:2" x14ac:dyDescent="0.3">
      <c r="A1183" s="38" t="str">
        <f>Lookup!A1183</f>
        <v>A493</v>
      </c>
      <c r="B1183" s="39">
        <f>SUMIFS(ItemInvoiceTracker!C:C,ItemInvoiceTracker!E:E,Data!A1183)</f>
        <v>0</v>
      </c>
    </row>
    <row r="1184" spans="1:2" x14ac:dyDescent="0.3">
      <c r="A1184" s="38" t="str">
        <f>Lookup!A1184</f>
        <v>A494</v>
      </c>
      <c r="B1184" s="39">
        <f>SUMIFS(ItemInvoiceTracker!C:C,ItemInvoiceTracker!E:E,Data!A1184)</f>
        <v>0</v>
      </c>
    </row>
    <row r="1185" spans="1:2" x14ac:dyDescent="0.3">
      <c r="A1185" s="38" t="str">
        <f>Lookup!A1185</f>
        <v>A495</v>
      </c>
      <c r="B1185" s="39">
        <f>SUMIFS(ItemInvoiceTracker!C:C,ItemInvoiceTracker!E:E,Data!A1185)</f>
        <v>0</v>
      </c>
    </row>
    <row r="1186" spans="1:2" x14ac:dyDescent="0.3">
      <c r="A1186" s="38" t="str">
        <f>Lookup!A1186</f>
        <v>A496</v>
      </c>
      <c r="B1186" s="39">
        <f>SUMIFS(ItemInvoiceTracker!C:C,ItemInvoiceTracker!E:E,Data!A1186)</f>
        <v>0</v>
      </c>
    </row>
    <row r="1187" spans="1:2" x14ac:dyDescent="0.3">
      <c r="A1187" s="38" t="str">
        <f>Lookup!A1187</f>
        <v>A497</v>
      </c>
      <c r="B1187" s="39">
        <f>SUMIFS(ItemInvoiceTracker!C:C,ItemInvoiceTracker!E:E,Data!A1187)</f>
        <v>0</v>
      </c>
    </row>
    <row r="1188" spans="1:2" x14ac:dyDescent="0.3">
      <c r="A1188" s="38" t="str">
        <f>Lookup!A1188</f>
        <v>A498</v>
      </c>
      <c r="B1188" s="39">
        <f>SUMIFS(ItemInvoiceTracker!C:C,ItemInvoiceTracker!E:E,Data!A1188)</f>
        <v>0</v>
      </c>
    </row>
    <row r="1189" spans="1:2" x14ac:dyDescent="0.3">
      <c r="A1189" s="38" t="str">
        <f>Lookup!A1189</f>
        <v>A499</v>
      </c>
      <c r="B1189" s="39">
        <f>SUMIFS(ItemInvoiceTracker!C:C,ItemInvoiceTracker!E:E,Data!A1189)</f>
        <v>0</v>
      </c>
    </row>
    <row r="1190" spans="1:2" x14ac:dyDescent="0.3">
      <c r="A1190" s="38" t="str">
        <f>Lookup!A1190</f>
        <v>A500</v>
      </c>
      <c r="B1190" s="39">
        <f>SUMIFS(ItemInvoiceTracker!C:C,ItemInvoiceTracker!E:E,Data!A1190)</f>
        <v>0</v>
      </c>
    </row>
    <row r="1191" spans="1:2" x14ac:dyDescent="0.3">
      <c r="A1191" s="38" t="str">
        <f>Lookup!A1191</f>
        <v>A501</v>
      </c>
      <c r="B1191" s="39">
        <f>SUMIFS(ItemInvoiceTracker!C:C,ItemInvoiceTracker!E:E,Data!A1191)</f>
        <v>0</v>
      </c>
    </row>
    <row r="1192" spans="1:2" x14ac:dyDescent="0.3">
      <c r="A1192" s="38" t="str">
        <f>Lookup!A1192</f>
        <v>A502</v>
      </c>
      <c r="B1192" s="39">
        <f>SUMIFS(ItemInvoiceTracker!C:C,ItemInvoiceTracker!E:E,Data!A1192)</f>
        <v>0</v>
      </c>
    </row>
    <row r="1193" spans="1:2" x14ac:dyDescent="0.3">
      <c r="A1193" s="38" t="str">
        <f>Lookup!A1193</f>
        <v>A503</v>
      </c>
      <c r="B1193" s="39">
        <f>SUMIFS(ItemInvoiceTracker!C:C,ItemInvoiceTracker!E:E,Data!A1193)</f>
        <v>0</v>
      </c>
    </row>
    <row r="1194" spans="1:2" x14ac:dyDescent="0.3">
      <c r="A1194" s="38" t="str">
        <f>Lookup!A1194</f>
        <v>A504</v>
      </c>
      <c r="B1194" s="39">
        <f>SUMIFS(ItemInvoiceTracker!C:C,ItemInvoiceTracker!E:E,Data!A1194)</f>
        <v>0</v>
      </c>
    </row>
    <row r="1195" spans="1:2" x14ac:dyDescent="0.3">
      <c r="A1195" s="38" t="str">
        <f>Lookup!A1195</f>
        <v>A505</v>
      </c>
      <c r="B1195" s="39">
        <f>SUMIFS(ItemInvoiceTracker!C:C,ItemInvoiceTracker!E:E,Data!A1195)</f>
        <v>0</v>
      </c>
    </row>
    <row r="1196" spans="1:2" x14ac:dyDescent="0.3">
      <c r="A1196" s="38" t="str">
        <f>Lookup!A1196</f>
        <v>A506</v>
      </c>
      <c r="B1196" s="39">
        <f>SUMIFS(ItemInvoiceTracker!C:C,ItemInvoiceTracker!E:E,Data!A1196)</f>
        <v>0</v>
      </c>
    </row>
    <row r="1197" spans="1:2" x14ac:dyDescent="0.3">
      <c r="A1197" s="38" t="str">
        <f>Lookup!A1197</f>
        <v>A507</v>
      </c>
      <c r="B1197" s="39">
        <f>SUMIFS(ItemInvoiceTracker!C:C,ItemInvoiceTracker!E:E,Data!A1197)</f>
        <v>0</v>
      </c>
    </row>
    <row r="1198" spans="1:2" x14ac:dyDescent="0.3">
      <c r="A1198" s="38" t="str">
        <f>Lookup!A1198</f>
        <v>A508</v>
      </c>
      <c r="B1198" s="39">
        <f>SUMIFS(ItemInvoiceTracker!C:C,ItemInvoiceTracker!E:E,Data!A1198)</f>
        <v>0</v>
      </c>
    </row>
    <row r="1199" spans="1:2" x14ac:dyDescent="0.3">
      <c r="A1199" s="38" t="str">
        <f>Lookup!A1199</f>
        <v>A509</v>
      </c>
      <c r="B1199" s="39">
        <f>SUMIFS(ItemInvoiceTracker!C:C,ItemInvoiceTracker!E:E,Data!A1199)</f>
        <v>0</v>
      </c>
    </row>
    <row r="1200" spans="1:2" x14ac:dyDescent="0.3">
      <c r="A1200" s="38" t="str">
        <f>Lookup!A1200</f>
        <v>A510</v>
      </c>
      <c r="B1200" s="39">
        <f>SUMIFS(ItemInvoiceTracker!C:C,ItemInvoiceTracker!E:E,Data!A1200)</f>
        <v>0</v>
      </c>
    </row>
    <row r="1201" spans="1:2" x14ac:dyDescent="0.3">
      <c r="A1201" s="38" t="str">
        <f>Lookup!A1201</f>
        <v>A511</v>
      </c>
      <c r="B1201" s="39">
        <f>SUMIFS(ItemInvoiceTracker!C:C,ItemInvoiceTracker!E:E,Data!A1201)</f>
        <v>0</v>
      </c>
    </row>
    <row r="1202" spans="1:2" x14ac:dyDescent="0.3">
      <c r="A1202" s="38" t="str">
        <f>Lookup!A1202</f>
        <v>A512</v>
      </c>
      <c r="B1202" s="39">
        <f>SUMIFS(ItemInvoiceTracker!C:C,ItemInvoiceTracker!E:E,Data!A1202)</f>
        <v>0</v>
      </c>
    </row>
    <row r="1203" spans="1:2" x14ac:dyDescent="0.3">
      <c r="A1203" s="38" t="str">
        <f>Lookup!A1203</f>
        <v>A513</v>
      </c>
      <c r="B1203" s="39">
        <f>SUMIFS(ItemInvoiceTracker!C:C,ItemInvoiceTracker!E:E,Data!A1203)</f>
        <v>0</v>
      </c>
    </row>
    <row r="1204" spans="1:2" x14ac:dyDescent="0.3">
      <c r="A1204" s="38" t="str">
        <f>Lookup!A1204</f>
        <v>A514</v>
      </c>
      <c r="B1204" s="39">
        <f>SUMIFS(ItemInvoiceTracker!C:C,ItemInvoiceTracker!E:E,Data!A1204)</f>
        <v>0</v>
      </c>
    </row>
    <row r="1205" spans="1:2" x14ac:dyDescent="0.3">
      <c r="A1205" s="38" t="str">
        <f>Lookup!A1205</f>
        <v>A515</v>
      </c>
      <c r="B1205" s="39">
        <f>SUMIFS(ItemInvoiceTracker!C:C,ItemInvoiceTracker!E:E,Data!A1205)</f>
        <v>0</v>
      </c>
    </row>
    <row r="1206" spans="1:2" x14ac:dyDescent="0.3">
      <c r="A1206" s="38" t="str">
        <f>Lookup!A1206</f>
        <v>A516</v>
      </c>
      <c r="B1206" s="39">
        <f>SUMIFS(ItemInvoiceTracker!C:C,ItemInvoiceTracker!E:E,Data!A1206)</f>
        <v>0</v>
      </c>
    </row>
    <row r="1207" spans="1:2" x14ac:dyDescent="0.3">
      <c r="A1207" s="38" t="str">
        <f>Lookup!A1207</f>
        <v>A517</v>
      </c>
      <c r="B1207" s="39">
        <f>SUMIFS(ItemInvoiceTracker!C:C,ItemInvoiceTracker!E:E,Data!A1207)</f>
        <v>0</v>
      </c>
    </row>
    <row r="1208" spans="1:2" x14ac:dyDescent="0.3">
      <c r="A1208" s="38" t="str">
        <f>Lookup!A1208</f>
        <v>A518</v>
      </c>
      <c r="B1208" s="39">
        <f>SUMIFS(ItemInvoiceTracker!C:C,ItemInvoiceTracker!E:E,Data!A1208)</f>
        <v>0</v>
      </c>
    </row>
    <row r="1209" spans="1:2" x14ac:dyDescent="0.3">
      <c r="A1209" s="38" t="str">
        <f>Lookup!A1209</f>
        <v>A519</v>
      </c>
      <c r="B1209" s="39">
        <f>SUMIFS(ItemInvoiceTracker!C:C,ItemInvoiceTracker!E:E,Data!A1209)</f>
        <v>0</v>
      </c>
    </row>
    <row r="1210" spans="1:2" x14ac:dyDescent="0.3">
      <c r="A1210" s="38" t="str">
        <f>Lookup!A1210</f>
        <v>A520</v>
      </c>
      <c r="B1210" s="39">
        <f>SUMIFS(ItemInvoiceTracker!C:C,ItemInvoiceTracker!E:E,Data!A1210)</f>
        <v>0</v>
      </c>
    </row>
    <row r="1211" spans="1:2" x14ac:dyDescent="0.3">
      <c r="A1211" s="38" t="str">
        <f>Lookup!A1211</f>
        <v>A521</v>
      </c>
      <c r="B1211" s="39">
        <f>SUMIFS(ItemInvoiceTracker!C:C,ItemInvoiceTracker!E:E,Data!A1211)</f>
        <v>0</v>
      </c>
    </row>
    <row r="1212" spans="1:2" x14ac:dyDescent="0.3">
      <c r="A1212" s="38" t="str">
        <f>Lookup!A1212</f>
        <v>A522</v>
      </c>
      <c r="B1212" s="39">
        <f>SUMIFS(ItemInvoiceTracker!C:C,ItemInvoiceTracker!E:E,Data!A1212)</f>
        <v>0</v>
      </c>
    </row>
    <row r="1213" spans="1:2" x14ac:dyDescent="0.3">
      <c r="A1213" s="38" t="str">
        <f>Lookup!A1213</f>
        <v>A523</v>
      </c>
      <c r="B1213" s="39">
        <f>SUMIFS(ItemInvoiceTracker!C:C,ItemInvoiceTracker!E:E,Data!A1213)</f>
        <v>0</v>
      </c>
    </row>
    <row r="1214" spans="1:2" x14ac:dyDescent="0.3">
      <c r="A1214" s="38" t="str">
        <f>Lookup!A1214</f>
        <v>A524</v>
      </c>
      <c r="B1214" s="39">
        <f>SUMIFS(ItemInvoiceTracker!C:C,ItemInvoiceTracker!E:E,Data!A1214)</f>
        <v>0</v>
      </c>
    </row>
    <row r="1215" spans="1:2" x14ac:dyDescent="0.3">
      <c r="A1215" s="38" t="str">
        <f>Lookup!A1215</f>
        <v>A525</v>
      </c>
      <c r="B1215" s="39">
        <f>SUMIFS(ItemInvoiceTracker!C:C,ItemInvoiceTracker!E:E,Data!A1215)</f>
        <v>0</v>
      </c>
    </row>
    <row r="1216" spans="1:2" x14ac:dyDescent="0.3">
      <c r="A1216" s="38" t="str">
        <f>Lookup!A1216</f>
        <v>A526</v>
      </c>
      <c r="B1216" s="39">
        <f>SUMIFS(ItemInvoiceTracker!C:C,ItemInvoiceTracker!E:E,Data!A1216)</f>
        <v>0</v>
      </c>
    </row>
    <row r="1217" spans="1:2" x14ac:dyDescent="0.3">
      <c r="A1217" s="38" t="str">
        <f>Lookup!A1217</f>
        <v>A527</v>
      </c>
      <c r="B1217" s="39">
        <f>SUMIFS(ItemInvoiceTracker!C:C,ItemInvoiceTracker!E:E,Data!A1217)</f>
        <v>0</v>
      </c>
    </row>
    <row r="1218" spans="1:2" x14ac:dyDescent="0.3">
      <c r="A1218" s="38" t="str">
        <f>Lookup!A1218</f>
        <v>A528</v>
      </c>
      <c r="B1218" s="39">
        <f>SUMIFS(ItemInvoiceTracker!C:C,ItemInvoiceTracker!E:E,Data!A1218)</f>
        <v>0</v>
      </c>
    </row>
    <row r="1219" spans="1:2" x14ac:dyDescent="0.3">
      <c r="A1219" s="38" t="str">
        <f>Lookup!A1219</f>
        <v>A529</v>
      </c>
      <c r="B1219" s="39">
        <f>SUMIFS(ItemInvoiceTracker!C:C,ItemInvoiceTracker!E:E,Data!A1219)</f>
        <v>0</v>
      </c>
    </row>
    <row r="1220" spans="1:2" x14ac:dyDescent="0.3">
      <c r="A1220" s="38" t="str">
        <f>Lookup!A1220</f>
        <v>A530</v>
      </c>
      <c r="B1220" s="39">
        <f>SUMIFS(ItemInvoiceTracker!C:C,ItemInvoiceTracker!E:E,Data!A1220)</f>
        <v>0</v>
      </c>
    </row>
    <row r="1221" spans="1:2" x14ac:dyDescent="0.3">
      <c r="A1221" s="38" t="str">
        <f>Lookup!A1221</f>
        <v>A531</v>
      </c>
      <c r="B1221" s="39">
        <f>SUMIFS(ItemInvoiceTracker!C:C,ItemInvoiceTracker!E:E,Data!A1221)</f>
        <v>0</v>
      </c>
    </row>
    <row r="1222" spans="1:2" x14ac:dyDescent="0.3">
      <c r="A1222" s="38" t="str">
        <f>Lookup!A1222</f>
        <v>A532</v>
      </c>
      <c r="B1222" s="39">
        <f>SUMIFS(ItemInvoiceTracker!C:C,ItemInvoiceTracker!E:E,Data!A1222)</f>
        <v>0</v>
      </c>
    </row>
    <row r="1223" spans="1:2" x14ac:dyDescent="0.3">
      <c r="A1223" s="38" t="str">
        <f>Lookup!A1223</f>
        <v>A533</v>
      </c>
      <c r="B1223" s="39">
        <f>SUMIFS(ItemInvoiceTracker!C:C,ItemInvoiceTracker!E:E,Data!A1223)</f>
        <v>0</v>
      </c>
    </row>
    <row r="1224" spans="1:2" x14ac:dyDescent="0.3">
      <c r="A1224" s="38" t="str">
        <f>Lookup!A1224</f>
        <v>A534</v>
      </c>
      <c r="B1224" s="39">
        <f>SUMIFS(ItemInvoiceTracker!C:C,ItemInvoiceTracker!E:E,Data!A1224)</f>
        <v>0</v>
      </c>
    </row>
    <row r="1225" spans="1:2" x14ac:dyDescent="0.3">
      <c r="A1225" s="38" t="str">
        <f>Lookup!A1225</f>
        <v>A535</v>
      </c>
      <c r="B1225" s="39">
        <f>SUMIFS(ItemInvoiceTracker!C:C,ItemInvoiceTracker!E:E,Data!A1225)</f>
        <v>0</v>
      </c>
    </row>
    <row r="1226" spans="1:2" x14ac:dyDescent="0.3">
      <c r="A1226" s="38" t="str">
        <f>Lookup!A1226</f>
        <v>A536</v>
      </c>
      <c r="B1226" s="39">
        <f>SUMIFS(ItemInvoiceTracker!C:C,ItemInvoiceTracker!E:E,Data!A1226)</f>
        <v>0</v>
      </c>
    </row>
    <row r="1227" spans="1:2" x14ac:dyDescent="0.3">
      <c r="A1227" s="38" t="str">
        <f>Lookup!A1227</f>
        <v>A537</v>
      </c>
      <c r="B1227" s="39">
        <f>SUMIFS(ItemInvoiceTracker!C:C,ItemInvoiceTracker!E:E,Data!A1227)</f>
        <v>0</v>
      </c>
    </row>
    <row r="1228" spans="1:2" x14ac:dyDescent="0.3">
      <c r="A1228" s="38" t="str">
        <f>Lookup!A1228</f>
        <v>A538</v>
      </c>
      <c r="B1228" s="39">
        <f>SUMIFS(ItemInvoiceTracker!C:C,ItemInvoiceTracker!E:E,Data!A1228)</f>
        <v>0</v>
      </c>
    </row>
    <row r="1229" spans="1:2" x14ac:dyDescent="0.3">
      <c r="A1229" s="38" t="str">
        <f>Lookup!A1229</f>
        <v>A539</v>
      </c>
      <c r="B1229" s="39">
        <f>SUMIFS(ItemInvoiceTracker!C:C,ItemInvoiceTracker!E:E,Data!A1229)</f>
        <v>0</v>
      </c>
    </row>
    <row r="1230" spans="1:2" x14ac:dyDescent="0.3">
      <c r="A1230" s="38" t="str">
        <f>Lookup!A1230</f>
        <v>A540</v>
      </c>
      <c r="B1230" s="39">
        <f>SUMIFS(ItemInvoiceTracker!C:C,ItemInvoiceTracker!E:E,Data!A1230)</f>
        <v>0</v>
      </c>
    </row>
    <row r="1231" spans="1:2" x14ac:dyDescent="0.3">
      <c r="A1231" s="38" t="str">
        <f>Lookup!A1231</f>
        <v>A541</v>
      </c>
      <c r="B1231" s="39">
        <f>SUMIFS(ItemInvoiceTracker!C:C,ItemInvoiceTracker!E:E,Data!A1231)</f>
        <v>0</v>
      </c>
    </row>
    <row r="1232" spans="1:2" x14ac:dyDescent="0.3">
      <c r="A1232" s="38" t="str">
        <f>Lookup!A1232</f>
        <v>A542</v>
      </c>
      <c r="B1232" s="39">
        <f>SUMIFS(ItemInvoiceTracker!C:C,ItemInvoiceTracker!E:E,Data!A1232)</f>
        <v>0</v>
      </c>
    </row>
    <row r="1233" spans="1:2" x14ac:dyDescent="0.3">
      <c r="A1233" s="38" t="str">
        <f>Lookup!A1233</f>
        <v>A543</v>
      </c>
      <c r="B1233" s="39">
        <f>SUMIFS(ItemInvoiceTracker!C:C,ItemInvoiceTracker!E:E,Data!A1233)</f>
        <v>0</v>
      </c>
    </row>
    <row r="1234" spans="1:2" x14ac:dyDescent="0.3">
      <c r="A1234" s="38" t="str">
        <f>Lookup!A1234</f>
        <v>A544</v>
      </c>
      <c r="B1234" s="39">
        <f>SUMIFS(ItemInvoiceTracker!C:C,ItemInvoiceTracker!E:E,Data!A1234)</f>
        <v>0</v>
      </c>
    </row>
    <row r="1235" spans="1:2" x14ac:dyDescent="0.3">
      <c r="A1235" s="38" t="str">
        <f>Lookup!A1235</f>
        <v>A545</v>
      </c>
      <c r="B1235" s="39">
        <f>SUMIFS(ItemInvoiceTracker!C:C,ItemInvoiceTracker!E:E,Data!A1235)</f>
        <v>0</v>
      </c>
    </row>
    <row r="1236" spans="1:2" x14ac:dyDescent="0.3">
      <c r="A1236" s="38" t="str">
        <f>Lookup!A1236</f>
        <v>A546</v>
      </c>
      <c r="B1236" s="39">
        <f>SUMIFS(ItemInvoiceTracker!C:C,ItemInvoiceTracker!E:E,Data!A1236)</f>
        <v>0</v>
      </c>
    </row>
    <row r="1237" spans="1:2" x14ac:dyDescent="0.3">
      <c r="A1237" s="38" t="str">
        <f>Lookup!A1237</f>
        <v>A547</v>
      </c>
      <c r="B1237" s="39">
        <f>SUMIFS(ItemInvoiceTracker!C:C,ItemInvoiceTracker!E:E,Data!A1237)</f>
        <v>0</v>
      </c>
    </row>
    <row r="1238" spans="1:2" x14ac:dyDescent="0.3">
      <c r="A1238" s="38" t="str">
        <f>Lookup!A1238</f>
        <v>A548</v>
      </c>
      <c r="B1238" s="39">
        <f>SUMIFS(ItemInvoiceTracker!C:C,ItemInvoiceTracker!E:E,Data!A1238)</f>
        <v>0</v>
      </c>
    </row>
    <row r="1239" spans="1:2" x14ac:dyDescent="0.3">
      <c r="A1239" s="38" t="str">
        <f>Lookup!A1239</f>
        <v>A549</v>
      </c>
      <c r="B1239" s="39">
        <f>SUMIFS(ItemInvoiceTracker!C:C,ItemInvoiceTracker!E:E,Data!A1239)</f>
        <v>0</v>
      </c>
    </row>
    <row r="1240" spans="1:2" x14ac:dyDescent="0.3">
      <c r="A1240" s="38" t="str">
        <f>Lookup!A1240</f>
        <v>A550</v>
      </c>
      <c r="B1240" s="39">
        <f>SUMIFS(ItemInvoiceTracker!C:C,ItemInvoiceTracker!E:E,Data!A1240)</f>
        <v>0</v>
      </c>
    </row>
    <row r="1241" spans="1:2" x14ac:dyDescent="0.3">
      <c r="A1241" s="38" t="str">
        <f>Lookup!A1241</f>
        <v>A551</v>
      </c>
      <c r="B1241" s="39">
        <f>SUMIFS(ItemInvoiceTracker!C:C,ItemInvoiceTracker!E:E,Data!A1241)</f>
        <v>0</v>
      </c>
    </row>
    <row r="1242" spans="1:2" x14ac:dyDescent="0.3">
      <c r="A1242" s="38" t="str">
        <f>Lookup!A1242</f>
        <v>A552</v>
      </c>
      <c r="B1242" s="39">
        <f>SUMIFS(ItemInvoiceTracker!C:C,ItemInvoiceTracker!E:E,Data!A1242)</f>
        <v>0</v>
      </c>
    </row>
    <row r="1243" spans="1:2" x14ac:dyDescent="0.3">
      <c r="A1243" s="38" t="str">
        <f>Lookup!A1243</f>
        <v>A553</v>
      </c>
      <c r="B1243" s="39">
        <f>SUMIFS(ItemInvoiceTracker!C:C,ItemInvoiceTracker!E:E,Data!A1243)</f>
        <v>0</v>
      </c>
    </row>
    <row r="1244" spans="1:2" x14ac:dyDescent="0.3">
      <c r="A1244" s="38" t="str">
        <f>Lookup!A1244</f>
        <v>A554</v>
      </c>
      <c r="B1244" s="39">
        <f>SUMIFS(ItemInvoiceTracker!C:C,ItemInvoiceTracker!E:E,Data!A1244)</f>
        <v>0</v>
      </c>
    </row>
    <row r="1245" spans="1:2" x14ac:dyDescent="0.3">
      <c r="A1245" s="38" t="str">
        <f>Lookup!A1245</f>
        <v>A555</v>
      </c>
      <c r="B1245" s="39">
        <f>SUMIFS(ItemInvoiceTracker!C:C,ItemInvoiceTracker!E:E,Data!A1245)</f>
        <v>0</v>
      </c>
    </row>
    <row r="1246" spans="1:2" x14ac:dyDescent="0.3">
      <c r="A1246" s="38" t="str">
        <f>Lookup!A1246</f>
        <v>A556</v>
      </c>
      <c r="B1246" s="39">
        <f>SUMIFS(ItemInvoiceTracker!C:C,ItemInvoiceTracker!E:E,Data!A1246)</f>
        <v>0</v>
      </c>
    </row>
    <row r="1247" spans="1:2" x14ac:dyDescent="0.3">
      <c r="A1247" s="38" t="str">
        <f>Lookup!A1247</f>
        <v>A557</v>
      </c>
      <c r="B1247" s="39">
        <f>SUMIFS(ItemInvoiceTracker!C:C,ItemInvoiceTracker!E:E,Data!A1247)</f>
        <v>0</v>
      </c>
    </row>
    <row r="1248" spans="1:2" x14ac:dyDescent="0.3">
      <c r="A1248" s="38" t="str">
        <f>Lookup!A1248</f>
        <v>A558</v>
      </c>
      <c r="B1248" s="39">
        <f>SUMIFS(ItemInvoiceTracker!C:C,ItemInvoiceTracker!E:E,Data!A1248)</f>
        <v>0</v>
      </c>
    </row>
    <row r="1249" spans="1:2" x14ac:dyDescent="0.3">
      <c r="A1249" s="38" t="str">
        <f>Lookup!A1249</f>
        <v>A559</v>
      </c>
      <c r="B1249" s="39">
        <f>SUMIFS(ItemInvoiceTracker!C:C,ItemInvoiceTracker!E:E,Data!A1249)</f>
        <v>0</v>
      </c>
    </row>
    <row r="1250" spans="1:2" x14ac:dyDescent="0.3">
      <c r="A1250" s="38" t="str">
        <f>Lookup!A1250</f>
        <v>A560</v>
      </c>
      <c r="B1250" s="39">
        <f>SUMIFS(ItemInvoiceTracker!C:C,ItemInvoiceTracker!E:E,Data!A1250)</f>
        <v>0</v>
      </c>
    </row>
    <row r="1251" spans="1:2" x14ac:dyDescent="0.3">
      <c r="A1251" s="38" t="str">
        <f>Lookup!A1251</f>
        <v>A561</v>
      </c>
      <c r="B1251" s="39">
        <f>SUMIFS(ItemInvoiceTracker!C:C,ItemInvoiceTracker!E:E,Data!A1251)</f>
        <v>0</v>
      </c>
    </row>
    <row r="1252" spans="1:2" x14ac:dyDescent="0.3">
      <c r="A1252" s="38" t="str">
        <f>Lookup!A1252</f>
        <v>A562</v>
      </c>
      <c r="B1252" s="39">
        <f>SUMIFS(ItemInvoiceTracker!C:C,ItemInvoiceTracker!E:E,Data!A1252)</f>
        <v>0</v>
      </c>
    </row>
    <row r="1253" spans="1:2" x14ac:dyDescent="0.3">
      <c r="A1253" s="38" t="str">
        <f>Lookup!A1253</f>
        <v>A563</v>
      </c>
      <c r="B1253" s="39">
        <f>SUMIFS(ItemInvoiceTracker!C:C,ItemInvoiceTracker!E:E,Data!A1253)</f>
        <v>0</v>
      </c>
    </row>
    <row r="1254" spans="1:2" x14ac:dyDescent="0.3">
      <c r="A1254" s="38" t="str">
        <f>Lookup!A1254</f>
        <v>A564</v>
      </c>
      <c r="B1254" s="39">
        <f>SUMIFS(ItemInvoiceTracker!C:C,ItemInvoiceTracker!E:E,Data!A1254)</f>
        <v>0</v>
      </c>
    </row>
    <row r="1255" spans="1:2" x14ac:dyDescent="0.3">
      <c r="A1255" s="38" t="str">
        <f>Lookup!A1255</f>
        <v>A565</v>
      </c>
      <c r="B1255" s="39">
        <f>SUMIFS(ItemInvoiceTracker!C:C,ItemInvoiceTracker!E:E,Data!A1255)</f>
        <v>0</v>
      </c>
    </row>
    <row r="1256" spans="1:2" x14ac:dyDescent="0.3">
      <c r="A1256" s="38" t="str">
        <f>Lookup!A1256</f>
        <v>A566</v>
      </c>
      <c r="B1256" s="39">
        <f>SUMIFS(ItemInvoiceTracker!C:C,ItemInvoiceTracker!E:E,Data!A1256)</f>
        <v>0</v>
      </c>
    </row>
    <row r="1257" spans="1:2" x14ac:dyDescent="0.3">
      <c r="A1257" s="38" t="str">
        <f>Lookup!A1257</f>
        <v>A567</v>
      </c>
      <c r="B1257" s="39">
        <f>SUMIFS(ItemInvoiceTracker!C:C,ItemInvoiceTracker!E:E,Data!A1257)</f>
        <v>0</v>
      </c>
    </row>
    <row r="1258" spans="1:2" x14ac:dyDescent="0.3">
      <c r="A1258" s="38" t="str">
        <f>Lookup!A1258</f>
        <v>A568</v>
      </c>
      <c r="B1258" s="39">
        <f>SUMIFS(ItemInvoiceTracker!C:C,ItemInvoiceTracker!E:E,Data!A1258)</f>
        <v>0</v>
      </c>
    </row>
    <row r="1259" spans="1:2" x14ac:dyDescent="0.3">
      <c r="A1259" s="38" t="str">
        <f>Lookup!A1259</f>
        <v>A569</v>
      </c>
      <c r="B1259" s="39">
        <f>SUMIFS(ItemInvoiceTracker!C:C,ItemInvoiceTracker!E:E,Data!A1259)</f>
        <v>0</v>
      </c>
    </row>
    <row r="1260" spans="1:2" x14ac:dyDescent="0.3">
      <c r="A1260" s="38" t="str">
        <f>Lookup!A1260</f>
        <v>A570</v>
      </c>
      <c r="B1260" s="39">
        <f>SUMIFS(ItemInvoiceTracker!C:C,ItemInvoiceTracker!E:E,Data!A1260)</f>
        <v>0</v>
      </c>
    </row>
    <row r="1261" spans="1:2" x14ac:dyDescent="0.3">
      <c r="A1261" s="38" t="str">
        <f>Lookup!A1261</f>
        <v>A571</v>
      </c>
      <c r="B1261" s="39">
        <f>SUMIFS(ItemInvoiceTracker!C:C,ItemInvoiceTracker!E:E,Data!A1261)</f>
        <v>0</v>
      </c>
    </row>
    <row r="1262" spans="1:2" x14ac:dyDescent="0.3">
      <c r="A1262" s="38" t="str">
        <f>Lookup!A1262</f>
        <v>A572</v>
      </c>
      <c r="B1262" s="39">
        <f>SUMIFS(ItemInvoiceTracker!C:C,ItemInvoiceTracker!E:E,Data!A1262)</f>
        <v>0</v>
      </c>
    </row>
    <row r="1263" spans="1:2" x14ac:dyDescent="0.3">
      <c r="A1263" s="38" t="str">
        <f>Lookup!A1263</f>
        <v>A573</v>
      </c>
      <c r="B1263" s="39">
        <f>SUMIFS(ItemInvoiceTracker!C:C,ItemInvoiceTracker!E:E,Data!A1263)</f>
        <v>0</v>
      </c>
    </row>
    <row r="1264" spans="1:2" x14ac:dyDescent="0.3">
      <c r="A1264" s="38" t="str">
        <f>Lookup!A1264</f>
        <v>A574</v>
      </c>
      <c r="B1264" s="39">
        <f>SUMIFS(ItemInvoiceTracker!C:C,ItemInvoiceTracker!E:E,Data!A1264)</f>
        <v>0</v>
      </c>
    </row>
    <row r="1265" spans="1:2" x14ac:dyDescent="0.3">
      <c r="A1265" s="38" t="str">
        <f>Lookup!A1265</f>
        <v>A575</v>
      </c>
      <c r="B1265" s="39">
        <f>SUMIFS(ItemInvoiceTracker!C:C,ItemInvoiceTracker!E:E,Data!A1265)</f>
        <v>0</v>
      </c>
    </row>
    <row r="1266" spans="1:2" x14ac:dyDescent="0.3">
      <c r="A1266" s="38" t="str">
        <f>Lookup!A1266</f>
        <v>A576</v>
      </c>
      <c r="B1266" s="39">
        <f>SUMIFS(ItemInvoiceTracker!C:C,ItemInvoiceTracker!E:E,Data!A1266)</f>
        <v>0</v>
      </c>
    </row>
    <row r="1267" spans="1:2" x14ac:dyDescent="0.3">
      <c r="A1267" s="38" t="str">
        <f>Lookup!A1267</f>
        <v>A577</v>
      </c>
      <c r="B1267" s="39">
        <f>SUMIFS(ItemInvoiceTracker!C:C,ItemInvoiceTracker!E:E,Data!A1267)</f>
        <v>0</v>
      </c>
    </row>
    <row r="1268" spans="1:2" x14ac:dyDescent="0.3">
      <c r="A1268" s="38" t="str">
        <f>Lookup!A1268</f>
        <v>A578</v>
      </c>
      <c r="B1268" s="39">
        <f>SUMIFS(ItemInvoiceTracker!C:C,ItemInvoiceTracker!E:E,Data!A1268)</f>
        <v>0</v>
      </c>
    </row>
    <row r="1269" spans="1:2" x14ac:dyDescent="0.3">
      <c r="A1269" s="38" t="str">
        <f>Lookup!A1269</f>
        <v>A579</v>
      </c>
      <c r="B1269" s="39">
        <f>SUMIFS(ItemInvoiceTracker!C:C,ItemInvoiceTracker!E:E,Data!A1269)</f>
        <v>0</v>
      </c>
    </row>
    <row r="1270" spans="1:2" x14ac:dyDescent="0.3">
      <c r="A1270" s="38" t="str">
        <f>Lookup!A1270</f>
        <v>A580</v>
      </c>
      <c r="B1270" s="39">
        <f>SUMIFS(ItemInvoiceTracker!C:C,ItemInvoiceTracker!E:E,Data!A1270)</f>
        <v>0</v>
      </c>
    </row>
    <row r="1271" spans="1:2" x14ac:dyDescent="0.3">
      <c r="A1271" s="38" t="str">
        <f>Lookup!A1271</f>
        <v>A581</v>
      </c>
      <c r="B1271" s="39">
        <f>SUMIFS(ItemInvoiceTracker!C:C,ItemInvoiceTracker!E:E,Data!A1271)</f>
        <v>0</v>
      </c>
    </row>
    <row r="1272" spans="1:2" x14ac:dyDescent="0.3">
      <c r="A1272" s="38" t="str">
        <f>Lookup!A1272</f>
        <v>A582</v>
      </c>
      <c r="B1272" s="39">
        <f>SUMIFS(ItemInvoiceTracker!C:C,ItemInvoiceTracker!E:E,Data!A1272)</f>
        <v>0</v>
      </c>
    </row>
    <row r="1273" spans="1:2" x14ac:dyDescent="0.3">
      <c r="A1273" s="38" t="str">
        <f>Lookup!A1273</f>
        <v>A583</v>
      </c>
      <c r="B1273" s="39">
        <f>SUMIFS(ItemInvoiceTracker!C:C,ItemInvoiceTracker!E:E,Data!A1273)</f>
        <v>0</v>
      </c>
    </row>
    <row r="1274" spans="1:2" x14ac:dyDescent="0.3">
      <c r="A1274" s="38" t="str">
        <f>Lookup!A1274</f>
        <v>A584</v>
      </c>
      <c r="B1274" s="39">
        <f>SUMIFS(ItemInvoiceTracker!C:C,ItemInvoiceTracker!E:E,Data!A1274)</f>
        <v>0</v>
      </c>
    </row>
    <row r="1275" spans="1:2" x14ac:dyDescent="0.3">
      <c r="A1275" s="38" t="str">
        <f>Lookup!A1275</f>
        <v>A585</v>
      </c>
      <c r="B1275" s="39">
        <f>SUMIFS(ItemInvoiceTracker!C:C,ItemInvoiceTracker!E:E,Data!A1275)</f>
        <v>0</v>
      </c>
    </row>
    <row r="1276" spans="1:2" x14ac:dyDescent="0.3">
      <c r="A1276" s="38" t="str">
        <f>Lookup!A1276</f>
        <v>A586</v>
      </c>
      <c r="B1276" s="39">
        <f>SUMIFS(ItemInvoiceTracker!C:C,ItemInvoiceTracker!E:E,Data!A1276)</f>
        <v>0</v>
      </c>
    </row>
    <row r="1277" spans="1:2" x14ac:dyDescent="0.3">
      <c r="A1277" s="38" t="str">
        <f>Lookup!A1277</f>
        <v>A587</v>
      </c>
      <c r="B1277" s="39">
        <f>SUMIFS(ItemInvoiceTracker!C:C,ItemInvoiceTracker!E:E,Data!A1277)</f>
        <v>0</v>
      </c>
    </row>
    <row r="1278" spans="1:2" x14ac:dyDescent="0.3">
      <c r="A1278" s="38" t="str">
        <f>Lookup!A1278</f>
        <v>A588</v>
      </c>
      <c r="B1278" s="39">
        <f>SUMIFS(ItemInvoiceTracker!C:C,ItemInvoiceTracker!E:E,Data!A1278)</f>
        <v>0</v>
      </c>
    </row>
    <row r="1279" spans="1:2" x14ac:dyDescent="0.3">
      <c r="A1279" s="38" t="str">
        <f>Lookup!A1279</f>
        <v>A589</v>
      </c>
      <c r="B1279" s="39">
        <f>SUMIFS(ItemInvoiceTracker!C:C,ItemInvoiceTracker!E:E,Data!A1279)</f>
        <v>0</v>
      </c>
    </row>
    <row r="1280" spans="1:2" x14ac:dyDescent="0.3">
      <c r="A1280" s="38" t="str">
        <f>Lookup!A1280</f>
        <v>A590</v>
      </c>
      <c r="B1280" s="39">
        <f>SUMIFS(ItemInvoiceTracker!C:C,ItemInvoiceTracker!E:E,Data!A1280)</f>
        <v>0</v>
      </c>
    </row>
    <row r="1281" spans="1:2" x14ac:dyDescent="0.3">
      <c r="A1281" s="38" t="str">
        <f>Lookup!A1281</f>
        <v>A591</v>
      </c>
      <c r="B1281" s="39">
        <f>SUMIFS(ItemInvoiceTracker!C:C,ItemInvoiceTracker!E:E,Data!A1281)</f>
        <v>0</v>
      </c>
    </row>
    <row r="1282" spans="1:2" x14ac:dyDescent="0.3">
      <c r="A1282" s="38" t="str">
        <f>Lookup!A1282</f>
        <v>A592</v>
      </c>
      <c r="B1282" s="39">
        <f>SUMIFS(ItemInvoiceTracker!C:C,ItemInvoiceTracker!E:E,Data!A1282)</f>
        <v>0</v>
      </c>
    </row>
    <row r="1283" spans="1:2" x14ac:dyDescent="0.3">
      <c r="A1283" s="38" t="str">
        <f>Lookup!A1283</f>
        <v>A593</v>
      </c>
      <c r="B1283" s="39">
        <f>SUMIFS(ItemInvoiceTracker!C:C,ItemInvoiceTracker!E:E,Data!A1283)</f>
        <v>0</v>
      </c>
    </row>
    <row r="1284" spans="1:2" x14ac:dyDescent="0.3">
      <c r="A1284" s="38" t="str">
        <f>Lookup!A1284</f>
        <v>A594</v>
      </c>
      <c r="B1284" s="39">
        <f>SUMIFS(ItemInvoiceTracker!C:C,ItemInvoiceTracker!E:E,Data!A1284)</f>
        <v>0</v>
      </c>
    </row>
    <row r="1285" spans="1:2" x14ac:dyDescent="0.3">
      <c r="A1285" s="38" t="str">
        <f>Lookup!A1285</f>
        <v>A595</v>
      </c>
      <c r="B1285" s="39">
        <f>SUMIFS(ItemInvoiceTracker!C:C,ItemInvoiceTracker!E:E,Data!A1285)</f>
        <v>0</v>
      </c>
    </row>
    <row r="1286" spans="1:2" x14ac:dyDescent="0.3">
      <c r="A1286" s="38" t="str">
        <f>Lookup!A1286</f>
        <v>A596</v>
      </c>
      <c r="B1286" s="39">
        <f>SUMIFS(ItemInvoiceTracker!C:C,ItemInvoiceTracker!E:E,Data!A1286)</f>
        <v>0</v>
      </c>
    </row>
    <row r="1287" spans="1:2" x14ac:dyDescent="0.3">
      <c r="A1287" s="38" t="str">
        <f>Lookup!A1287</f>
        <v>A597</v>
      </c>
      <c r="B1287" s="39">
        <f>SUMIFS(ItemInvoiceTracker!C:C,ItemInvoiceTracker!E:E,Data!A1287)</f>
        <v>0</v>
      </c>
    </row>
    <row r="1288" spans="1:2" x14ac:dyDescent="0.3">
      <c r="A1288" s="38" t="str">
        <f>Lookup!A1288</f>
        <v>A598</v>
      </c>
      <c r="B1288" s="39">
        <f>SUMIFS(ItemInvoiceTracker!C:C,ItemInvoiceTracker!E:E,Data!A1288)</f>
        <v>0</v>
      </c>
    </row>
    <row r="1289" spans="1:2" x14ac:dyDescent="0.3">
      <c r="A1289" s="38" t="str">
        <f>Lookup!A1289</f>
        <v>A599</v>
      </c>
      <c r="B1289" s="39">
        <f>SUMIFS(ItemInvoiceTracker!C:C,ItemInvoiceTracker!E:E,Data!A1289)</f>
        <v>0</v>
      </c>
    </row>
    <row r="1290" spans="1:2" x14ac:dyDescent="0.3">
      <c r="A1290" s="38" t="str">
        <f>Lookup!A1290</f>
        <v>A600</v>
      </c>
      <c r="B1290" s="39">
        <f>SUMIFS(ItemInvoiceTracker!C:C,ItemInvoiceTracker!E:E,Data!A1290)</f>
        <v>0</v>
      </c>
    </row>
    <row r="1291" spans="1:2" x14ac:dyDescent="0.3">
      <c r="A1291" s="38" t="str">
        <f>Lookup!A1291</f>
        <v>A601</v>
      </c>
      <c r="B1291" s="39">
        <f>SUMIFS(ItemInvoiceTracker!C:C,ItemInvoiceTracker!E:E,Data!A1291)</f>
        <v>0</v>
      </c>
    </row>
    <row r="1292" spans="1:2" x14ac:dyDescent="0.3">
      <c r="A1292" s="38" t="str">
        <f>Lookup!A1292</f>
        <v>A602</v>
      </c>
      <c r="B1292" s="39">
        <f>SUMIFS(ItemInvoiceTracker!C:C,ItemInvoiceTracker!E:E,Data!A1292)</f>
        <v>0</v>
      </c>
    </row>
    <row r="1293" spans="1:2" x14ac:dyDescent="0.3">
      <c r="A1293" s="38" t="str">
        <f>Lookup!A1293</f>
        <v>A603</v>
      </c>
      <c r="B1293" s="39">
        <f>SUMIFS(ItemInvoiceTracker!C:C,ItemInvoiceTracker!E:E,Data!A1293)</f>
        <v>0</v>
      </c>
    </row>
    <row r="1294" spans="1:2" x14ac:dyDescent="0.3">
      <c r="A1294" s="38" t="str">
        <f>Lookup!A1294</f>
        <v>A604</v>
      </c>
      <c r="B1294" s="39">
        <f>SUMIFS(ItemInvoiceTracker!C:C,ItemInvoiceTracker!E:E,Data!A1294)</f>
        <v>0</v>
      </c>
    </row>
    <row r="1295" spans="1:2" x14ac:dyDescent="0.3">
      <c r="A1295" s="38" t="str">
        <f>Lookup!A1295</f>
        <v>A605</v>
      </c>
      <c r="B1295" s="39">
        <f>SUMIFS(ItemInvoiceTracker!C:C,ItemInvoiceTracker!E:E,Data!A1295)</f>
        <v>0</v>
      </c>
    </row>
    <row r="1296" spans="1:2" x14ac:dyDescent="0.3">
      <c r="A1296" s="38" t="str">
        <f>Lookup!A1296</f>
        <v>A606</v>
      </c>
      <c r="B1296" s="39">
        <f>SUMIFS(ItemInvoiceTracker!C:C,ItemInvoiceTracker!E:E,Data!A1296)</f>
        <v>0</v>
      </c>
    </row>
    <row r="1297" spans="1:2" x14ac:dyDescent="0.3">
      <c r="A1297" s="38" t="str">
        <f>Lookup!A1297</f>
        <v>A607</v>
      </c>
      <c r="B1297" s="39">
        <f>SUMIFS(ItemInvoiceTracker!C:C,ItemInvoiceTracker!E:E,Data!A1297)</f>
        <v>0</v>
      </c>
    </row>
    <row r="1298" spans="1:2" x14ac:dyDescent="0.3">
      <c r="A1298" s="38" t="str">
        <f>Lookup!A1298</f>
        <v>A608</v>
      </c>
      <c r="B1298" s="39">
        <f>SUMIFS(ItemInvoiceTracker!C:C,ItemInvoiceTracker!E:E,Data!A1298)</f>
        <v>0</v>
      </c>
    </row>
    <row r="1299" spans="1:2" x14ac:dyDescent="0.3">
      <c r="A1299" s="38" t="str">
        <f>Lookup!A1299</f>
        <v>A609</v>
      </c>
      <c r="B1299" s="39">
        <f>SUMIFS(ItemInvoiceTracker!C:C,ItemInvoiceTracker!E:E,Data!A1299)</f>
        <v>0</v>
      </c>
    </row>
    <row r="1300" spans="1:2" x14ac:dyDescent="0.3">
      <c r="A1300" s="38" t="str">
        <f>Lookup!A1300</f>
        <v>A610</v>
      </c>
      <c r="B1300" s="39">
        <f>SUMIFS(ItemInvoiceTracker!C:C,ItemInvoiceTracker!E:E,Data!A1300)</f>
        <v>0</v>
      </c>
    </row>
    <row r="1301" spans="1:2" x14ac:dyDescent="0.3">
      <c r="A1301" s="38" t="str">
        <f>Lookup!A1301</f>
        <v>A611</v>
      </c>
      <c r="B1301" s="39">
        <f>SUMIFS(ItemInvoiceTracker!C:C,ItemInvoiceTracker!E:E,Data!A1301)</f>
        <v>0</v>
      </c>
    </row>
    <row r="1302" spans="1:2" x14ac:dyDescent="0.3">
      <c r="A1302" s="38" t="str">
        <f>Lookup!A1302</f>
        <v>A612</v>
      </c>
      <c r="B1302" s="39">
        <f>SUMIFS(ItemInvoiceTracker!C:C,ItemInvoiceTracker!E:E,Data!A1302)</f>
        <v>0</v>
      </c>
    </row>
    <row r="1303" spans="1:2" x14ac:dyDescent="0.3">
      <c r="A1303" s="38" t="str">
        <f>Lookup!A1303</f>
        <v>A613</v>
      </c>
      <c r="B1303" s="39">
        <f>SUMIFS(ItemInvoiceTracker!C:C,ItemInvoiceTracker!E:E,Data!A1303)</f>
        <v>0</v>
      </c>
    </row>
    <row r="1304" spans="1:2" x14ac:dyDescent="0.3">
      <c r="A1304" s="38" t="str">
        <f>Lookup!A1304</f>
        <v>A614</v>
      </c>
      <c r="B1304" s="39">
        <f>SUMIFS(ItemInvoiceTracker!C:C,ItemInvoiceTracker!E:E,Data!A1304)</f>
        <v>0</v>
      </c>
    </row>
    <row r="1305" spans="1:2" x14ac:dyDescent="0.3">
      <c r="A1305" s="38" t="str">
        <f>Lookup!A1305</f>
        <v>A615</v>
      </c>
      <c r="B1305" s="39">
        <f>SUMIFS(ItemInvoiceTracker!C:C,ItemInvoiceTracker!E:E,Data!A1305)</f>
        <v>0</v>
      </c>
    </row>
    <row r="1306" spans="1:2" x14ac:dyDescent="0.3">
      <c r="A1306" s="38" t="str">
        <f>Lookup!A1306</f>
        <v>A616</v>
      </c>
      <c r="B1306" s="39">
        <f>SUMIFS(ItemInvoiceTracker!C:C,ItemInvoiceTracker!E:E,Data!A1306)</f>
        <v>0</v>
      </c>
    </row>
    <row r="1307" spans="1:2" x14ac:dyDescent="0.3">
      <c r="A1307" s="38" t="str">
        <f>Lookup!A1307</f>
        <v>A617</v>
      </c>
      <c r="B1307" s="39">
        <f>SUMIFS(ItemInvoiceTracker!C:C,ItemInvoiceTracker!E:E,Data!A1307)</f>
        <v>0</v>
      </c>
    </row>
    <row r="1308" spans="1:2" x14ac:dyDescent="0.3">
      <c r="A1308" s="38" t="str">
        <f>Lookup!A1308</f>
        <v>A618</v>
      </c>
      <c r="B1308" s="39">
        <f>SUMIFS(ItemInvoiceTracker!C:C,ItemInvoiceTracker!E:E,Data!A1308)</f>
        <v>0</v>
      </c>
    </row>
    <row r="1309" spans="1:2" x14ac:dyDescent="0.3">
      <c r="A1309" s="38" t="str">
        <f>Lookup!A1309</f>
        <v>A619</v>
      </c>
      <c r="B1309" s="39">
        <f>SUMIFS(ItemInvoiceTracker!C:C,ItemInvoiceTracker!E:E,Data!A1309)</f>
        <v>0</v>
      </c>
    </row>
    <row r="1310" spans="1:2" x14ac:dyDescent="0.3">
      <c r="A1310" s="38" t="str">
        <f>Lookup!A1310</f>
        <v>A620</v>
      </c>
      <c r="B1310" s="39">
        <f>SUMIFS(ItemInvoiceTracker!C:C,ItemInvoiceTracker!E:E,Data!A1310)</f>
        <v>0</v>
      </c>
    </row>
    <row r="1311" spans="1:2" x14ac:dyDescent="0.3">
      <c r="A1311" s="38" t="str">
        <f>Lookup!A1311</f>
        <v>A621</v>
      </c>
      <c r="B1311" s="39">
        <f>SUMIFS(ItemInvoiceTracker!C:C,ItemInvoiceTracker!E:E,Data!A1311)</f>
        <v>0</v>
      </c>
    </row>
    <row r="1312" spans="1:2" x14ac:dyDescent="0.3">
      <c r="A1312" s="38" t="str">
        <f>Lookup!A1312</f>
        <v>A622</v>
      </c>
      <c r="B1312" s="39">
        <f>SUMIFS(ItemInvoiceTracker!C:C,ItemInvoiceTracker!E:E,Data!A1312)</f>
        <v>0</v>
      </c>
    </row>
    <row r="1313" spans="1:2" x14ac:dyDescent="0.3">
      <c r="A1313" s="38" t="str">
        <f>Lookup!A1313</f>
        <v>A623</v>
      </c>
      <c r="B1313" s="39">
        <f>SUMIFS(ItemInvoiceTracker!C:C,ItemInvoiceTracker!E:E,Data!A1313)</f>
        <v>0</v>
      </c>
    </row>
    <row r="1314" spans="1:2" x14ac:dyDescent="0.3">
      <c r="A1314" s="38" t="str">
        <f>Lookup!A1314</f>
        <v>A624</v>
      </c>
      <c r="B1314" s="39">
        <f>SUMIFS(ItemInvoiceTracker!C:C,ItemInvoiceTracker!E:E,Data!A1314)</f>
        <v>0</v>
      </c>
    </row>
    <row r="1315" spans="1:2" x14ac:dyDescent="0.3">
      <c r="A1315" s="38" t="str">
        <f>Lookup!A1315</f>
        <v>A625</v>
      </c>
      <c r="B1315" s="39">
        <f>SUMIFS(ItemInvoiceTracker!C:C,ItemInvoiceTracker!E:E,Data!A1315)</f>
        <v>0</v>
      </c>
    </row>
    <row r="1316" spans="1:2" x14ac:dyDescent="0.3">
      <c r="A1316" s="38" t="str">
        <f>Lookup!A1316</f>
        <v>A626</v>
      </c>
      <c r="B1316" s="39">
        <f>SUMIFS(ItemInvoiceTracker!C:C,ItemInvoiceTracker!E:E,Data!A1316)</f>
        <v>0</v>
      </c>
    </row>
    <row r="1317" spans="1:2" x14ac:dyDescent="0.3">
      <c r="A1317" s="38" t="str">
        <f>Lookup!A1317</f>
        <v>A627</v>
      </c>
      <c r="B1317" s="39">
        <f>SUMIFS(ItemInvoiceTracker!C:C,ItemInvoiceTracker!E:E,Data!A1317)</f>
        <v>0</v>
      </c>
    </row>
    <row r="1318" spans="1:2" x14ac:dyDescent="0.3">
      <c r="A1318" s="38" t="str">
        <f>Lookup!A1318</f>
        <v>A628</v>
      </c>
      <c r="B1318" s="39">
        <f>SUMIFS(ItemInvoiceTracker!C:C,ItemInvoiceTracker!E:E,Data!A1318)</f>
        <v>0</v>
      </c>
    </row>
    <row r="1319" spans="1:2" x14ac:dyDescent="0.3">
      <c r="A1319" s="38" t="str">
        <f>Lookup!A1319</f>
        <v>A629</v>
      </c>
      <c r="B1319" s="39">
        <f>SUMIFS(ItemInvoiceTracker!C:C,ItemInvoiceTracker!E:E,Data!A1319)</f>
        <v>0</v>
      </c>
    </row>
    <row r="1320" spans="1:2" x14ac:dyDescent="0.3">
      <c r="A1320" s="38" t="str">
        <f>Lookup!A1320</f>
        <v>A630</v>
      </c>
      <c r="B1320" s="39">
        <f>SUMIFS(ItemInvoiceTracker!C:C,ItemInvoiceTracker!E:E,Data!A1320)</f>
        <v>0</v>
      </c>
    </row>
    <row r="1321" spans="1:2" x14ac:dyDescent="0.3">
      <c r="A1321" s="38" t="str">
        <f>Lookup!A1321</f>
        <v>A631</v>
      </c>
      <c r="B1321" s="39">
        <f>SUMIFS(ItemInvoiceTracker!C:C,ItemInvoiceTracker!E:E,Data!A1321)</f>
        <v>0</v>
      </c>
    </row>
    <row r="1322" spans="1:2" x14ac:dyDescent="0.3">
      <c r="A1322" s="38" t="str">
        <f>Lookup!A1322</f>
        <v>A632</v>
      </c>
      <c r="B1322" s="39">
        <f>SUMIFS(ItemInvoiceTracker!C:C,ItemInvoiceTracker!E:E,Data!A1322)</f>
        <v>0</v>
      </c>
    </row>
    <row r="1323" spans="1:2" x14ac:dyDescent="0.3">
      <c r="A1323" s="38" t="str">
        <f>Lookup!A1323</f>
        <v>A633</v>
      </c>
      <c r="B1323" s="39">
        <f>SUMIFS(ItemInvoiceTracker!C:C,ItemInvoiceTracker!E:E,Data!A1323)</f>
        <v>0</v>
      </c>
    </row>
    <row r="1324" spans="1:2" x14ac:dyDescent="0.3">
      <c r="A1324" s="38" t="str">
        <f>Lookup!A1324</f>
        <v>A634</v>
      </c>
      <c r="B1324" s="39">
        <f>SUMIFS(ItemInvoiceTracker!C:C,ItemInvoiceTracker!E:E,Data!A1324)</f>
        <v>0</v>
      </c>
    </row>
    <row r="1325" spans="1:2" x14ac:dyDescent="0.3">
      <c r="A1325" s="38" t="str">
        <f>Lookup!A1325</f>
        <v>A635</v>
      </c>
      <c r="B1325" s="39">
        <f>SUMIFS(ItemInvoiceTracker!C:C,ItemInvoiceTracker!E:E,Data!A1325)</f>
        <v>0</v>
      </c>
    </row>
    <row r="1326" spans="1:2" x14ac:dyDescent="0.3">
      <c r="A1326" s="38" t="str">
        <f>Lookup!A1326</f>
        <v>A636</v>
      </c>
      <c r="B1326" s="39">
        <f>SUMIFS(ItemInvoiceTracker!C:C,ItemInvoiceTracker!E:E,Data!A1326)</f>
        <v>0</v>
      </c>
    </row>
    <row r="1327" spans="1:2" x14ac:dyDescent="0.3">
      <c r="A1327" s="38" t="str">
        <f>Lookup!A1327</f>
        <v>A637</v>
      </c>
      <c r="B1327" s="39">
        <f>SUMIFS(ItemInvoiceTracker!C:C,ItemInvoiceTracker!E:E,Data!A1327)</f>
        <v>0</v>
      </c>
    </row>
    <row r="1328" spans="1:2" x14ac:dyDescent="0.3">
      <c r="A1328" s="38" t="str">
        <f>Lookup!A1328</f>
        <v>A638</v>
      </c>
      <c r="B1328" s="39">
        <f>SUMIFS(ItemInvoiceTracker!C:C,ItemInvoiceTracker!E:E,Data!A1328)</f>
        <v>0</v>
      </c>
    </row>
    <row r="1329" spans="1:2" x14ac:dyDescent="0.3">
      <c r="A1329" s="38" t="str">
        <f>Lookup!A1329</f>
        <v>A639</v>
      </c>
      <c r="B1329" s="39">
        <f>SUMIFS(ItemInvoiceTracker!C:C,ItemInvoiceTracker!E:E,Data!A1329)</f>
        <v>0</v>
      </c>
    </row>
    <row r="1330" spans="1:2" x14ac:dyDescent="0.3">
      <c r="A1330" s="38" t="str">
        <f>Lookup!A1330</f>
        <v>A640</v>
      </c>
      <c r="B1330" s="39">
        <f>SUMIFS(ItemInvoiceTracker!C:C,ItemInvoiceTracker!E:E,Data!A1330)</f>
        <v>0</v>
      </c>
    </row>
    <row r="1331" spans="1:2" x14ac:dyDescent="0.3">
      <c r="A1331" s="38" t="str">
        <f>Lookup!A1331</f>
        <v>A641</v>
      </c>
      <c r="B1331" s="39">
        <f>SUMIFS(ItemInvoiceTracker!C:C,ItemInvoiceTracker!E:E,Data!A1331)</f>
        <v>0</v>
      </c>
    </row>
    <row r="1332" spans="1:2" x14ac:dyDescent="0.3">
      <c r="A1332" s="38" t="str">
        <f>Lookup!A1332</f>
        <v>A642</v>
      </c>
      <c r="B1332" s="39">
        <f>SUMIFS(ItemInvoiceTracker!C:C,ItemInvoiceTracker!E:E,Data!A1332)</f>
        <v>0</v>
      </c>
    </row>
    <row r="1333" spans="1:2" x14ac:dyDescent="0.3">
      <c r="A1333" s="38" t="str">
        <f>Lookup!A1333</f>
        <v>A643</v>
      </c>
      <c r="B1333" s="39">
        <f>SUMIFS(ItemInvoiceTracker!C:C,ItemInvoiceTracker!E:E,Data!A1333)</f>
        <v>0</v>
      </c>
    </row>
    <row r="1334" spans="1:2" x14ac:dyDescent="0.3">
      <c r="A1334" s="38" t="str">
        <f>Lookup!A1334</f>
        <v>A644</v>
      </c>
      <c r="B1334" s="39">
        <f>SUMIFS(ItemInvoiceTracker!C:C,ItemInvoiceTracker!E:E,Data!A1334)</f>
        <v>0</v>
      </c>
    </row>
    <row r="1335" spans="1:2" x14ac:dyDescent="0.3">
      <c r="A1335" s="38" t="str">
        <f>Lookup!A1335</f>
        <v>A645</v>
      </c>
      <c r="B1335" s="39">
        <f>SUMIFS(ItemInvoiceTracker!C:C,ItemInvoiceTracker!E:E,Data!A1335)</f>
        <v>0</v>
      </c>
    </row>
    <row r="1336" spans="1:2" x14ac:dyDescent="0.3">
      <c r="A1336" s="38" t="str">
        <f>Lookup!A1336</f>
        <v>A646</v>
      </c>
      <c r="B1336" s="39">
        <f>SUMIFS(ItemInvoiceTracker!C:C,ItemInvoiceTracker!E:E,Data!A1336)</f>
        <v>0</v>
      </c>
    </row>
    <row r="1337" spans="1:2" x14ac:dyDescent="0.3">
      <c r="A1337" s="38" t="str">
        <f>Lookup!A1337</f>
        <v>A647</v>
      </c>
      <c r="B1337" s="39">
        <f>SUMIFS(ItemInvoiceTracker!C:C,ItemInvoiceTracker!E:E,Data!A1337)</f>
        <v>0</v>
      </c>
    </row>
    <row r="1338" spans="1:2" x14ac:dyDescent="0.3">
      <c r="A1338" s="38" t="str">
        <f>Lookup!A1338</f>
        <v>A648</v>
      </c>
      <c r="B1338" s="39">
        <f>SUMIFS(ItemInvoiceTracker!C:C,ItemInvoiceTracker!E:E,Data!A1338)</f>
        <v>0</v>
      </c>
    </row>
    <row r="1339" spans="1:2" x14ac:dyDescent="0.3">
      <c r="A1339" s="38" t="str">
        <f>Lookup!A1339</f>
        <v>A649</v>
      </c>
      <c r="B1339" s="39">
        <f>SUMIFS(ItemInvoiceTracker!C:C,ItemInvoiceTracker!E:E,Data!A1339)</f>
        <v>0</v>
      </c>
    </row>
    <row r="1340" spans="1:2" x14ac:dyDescent="0.3">
      <c r="A1340" s="38" t="str">
        <f>Lookup!A1340</f>
        <v>A650</v>
      </c>
      <c r="B1340" s="39">
        <f>SUMIFS(ItemInvoiceTracker!C:C,ItemInvoiceTracker!E:E,Data!A1340)</f>
        <v>0</v>
      </c>
    </row>
    <row r="1341" spans="1:2" x14ac:dyDescent="0.3">
      <c r="A1341" s="38" t="str">
        <f>Lookup!A1341</f>
        <v>A651</v>
      </c>
      <c r="B1341" s="39">
        <f>SUMIFS(ItemInvoiceTracker!C:C,ItemInvoiceTracker!E:E,Data!A1341)</f>
        <v>0</v>
      </c>
    </row>
    <row r="1342" spans="1:2" x14ac:dyDescent="0.3">
      <c r="A1342" s="38" t="str">
        <f>Lookup!A1342</f>
        <v>A652</v>
      </c>
      <c r="B1342" s="39">
        <f>SUMIFS(ItemInvoiceTracker!C:C,ItemInvoiceTracker!E:E,Data!A1342)</f>
        <v>0</v>
      </c>
    </row>
    <row r="1343" spans="1:2" x14ac:dyDescent="0.3">
      <c r="A1343" s="38" t="str">
        <f>Lookup!A1343</f>
        <v>A653</v>
      </c>
      <c r="B1343" s="39">
        <f>SUMIFS(ItemInvoiceTracker!C:C,ItemInvoiceTracker!E:E,Data!A1343)</f>
        <v>0</v>
      </c>
    </row>
    <row r="1344" spans="1:2" x14ac:dyDescent="0.3">
      <c r="A1344" s="38" t="str">
        <f>Lookup!A1344</f>
        <v>A654</v>
      </c>
      <c r="B1344" s="39">
        <f>SUMIFS(ItemInvoiceTracker!C:C,ItemInvoiceTracker!E:E,Data!A1344)</f>
        <v>0</v>
      </c>
    </row>
    <row r="1345" spans="1:2" x14ac:dyDescent="0.3">
      <c r="A1345" s="38" t="str">
        <f>Lookup!A1345</f>
        <v>A655</v>
      </c>
      <c r="B1345" s="39">
        <f>SUMIFS(ItemInvoiceTracker!C:C,ItemInvoiceTracker!E:E,Data!A1345)</f>
        <v>0</v>
      </c>
    </row>
    <row r="1346" spans="1:2" x14ac:dyDescent="0.3">
      <c r="A1346" s="38" t="str">
        <f>Lookup!A1346</f>
        <v>A656</v>
      </c>
      <c r="B1346" s="39">
        <f>SUMIFS(ItemInvoiceTracker!C:C,ItemInvoiceTracker!E:E,Data!A1346)</f>
        <v>0</v>
      </c>
    </row>
    <row r="1347" spans="1:2" x14ac:dyDescent="0.3">
      <c r="A1347" s="38" t="str">
        <f>Lookup!A1347</f>
        <v>A657</v>
      </c>
      <c r="B1347" s="39">
        <f>SUMIFS(ItemInvoiceTracker!C:C,ItemInvoiceTracker!E:E,Data!A1347)</f>
        <v>0</v>
      </c>
    </row>
    <row r="1348" spans="1:2" x14ac:dyDescent="0.3">
      <c r="A1348" s="38" t="str">
        <f>Lookup!A1348</f>
        <v>A658</v>
      </c>
      <c r="B1348" s="39">
        <f>SUMIFS(ItemInvoiceTracker!C:C,ItemInvoiceTracker!E:E,Data!A1348)</f>
        <v>0</v>
      </c>
    </row>
    <row r="1349" spans="1:2" x14ac:dyDescent="0.3">
      <c r="A1349" s="38" t="str">
        <f>Lookup!A1349</f>
        <v>A659</v>
      </c>
      <c r="B1349" s="39">
        <f>SUMIFS(ItemInvoiceTracker!C:C,ItemInvoiceTracker!E:E,Data!A1349)</f>
        <v>0</v>
      </c>
    </row>
    <row r="1350" spans="1:2" x14ac:dyDescent="0.3">
      <c r="A1350" s="38" t="str">
        <f>Lookup!A1350</f>
        <v>A660</v>
      </c>
      <c r="B1350" s="39">
        <f>SUMIFS(ItemInvoiceTracker!C:C,ItemInvoiceTracker!E:E,Data!A1350)</f>
        <v>0</v>
      </c>
    </row>
    <row r="1351" spans="1:2" x14ac:dyDescent="0.3">
      <c r="A1351" s="38" t="str">
        <f>Lookup!A1351</f>
        <v>A661</v>
      </c>
      <c r="B1351" s="39">
        <f>SUMIFS(ItemInvoiceTracker!C:C,ItemInvoiceTracker!E:E,Data!A1351)</f>
        <v>0</v>
      </c>
    </row>
    <row r="1352" spans="1:2" x14ac:dyDescent="0.3">
      <c r="A1352" s="38" t="str">
        <f>Lookup!A1352</f>
        <v>A662</v>
      </c>
      <c r="B1352" s="39">
        <f>SUMIFS(ItemInvoiceTracker!C:C,ItemInvoiceTracker!E:E,Data!A1352)</f>
        <v>0</v>
      </c>
    </row>
    <row r="1353" spans="1:2" x14ac:dyDescent="0.3">
      <c r="A1353" s="38" t="str">
        <f>Lookup!A1353</f>
        <v>A663</v>
      </c>
      <c r="B1353" s="39">
        <f>SUMIFS(ItemInvoiceTracker!C:C,ItemInvoiceTracker!E:E,Data!A1353)</f>
        <v>0</v>
      </c>
    </row>
    <row r="1354" spans="1:2" x14ac:dyDescent="0.3">
      <c r="A1354" s="38" t="str">
        <f>Lookup!A1354</f>
        <v>A664</v>
      </c>
      <c r="B1354" s="39">
        <f>SUMIFS(ItemInvoiceTracker!C:C,ItemInvoiceTracker!E:E,Data!A1354)</f>
        <v>0</v>
      </c>
    </row>
    <row r="1355" spans="1:2" x14ac:dyDescent="0.3">
      <c r="A1355" s="38" t="str">
        <f>Lookup!A1355</f>
        <v>A665</v>
      </c>
      <c r="B1355" s="39">
        <f>SUMIFS(ItemInvoiceTracker!C:C,ItemInvoiceTracker!E:E,Data!A1355)</f>
        <v>0</v>
      </c>
    </row>
    <row r="1356" spans="1:2" x14ac:dyDescent="0.3">
      <c r="A1356" s="38" t="str">
        <f>Lookup!A1356</f>
        <v>A666</v>
      </c>
      <c r="B1356" s="39">
        <f>SUMIFS(ItemInvoiceTracker!C:C,ItemInvoiceTracker!E:E,Data!A1356)</f>
        <v>0</v>
      </c>
    </row>
    <row r="1357" spans="1:2" x14ac:dyDescent="0.3">
      <c r="A1357" s="38" t="str">
        <f>Lookup!A1357</f>
        <v>A667</v>
      </c>
      <c r="B1357" s="39">
        <f>SUMIFS(ItemInvoiceTracker!C:C,ItemInvoiceTracker!E:E,Data!A1357)</f>
        <v>0</v>
      </c>
    </row>
    <row r="1358" spans="1:2" x14ac:dyDescent="0.3">
      <c r="A1358" s="38" t="str">
        <f>Lookup!A1358</f>
        <v>A668</v>
      </c>
      <c r="B1358" s="39">
        <f>SUMIFS(ItemInvoiceTracker!C:C,ItemInvoiceTracker!E:E,Data!A1358)</f>
        <v>0</v>
      </c>
    </row>
    <row r="1359" spans="1:2" x14ac:dyDescent="0.3">
      <c r="A1359" s="38" t="str">
        <f>Lookup!A1359</f>
        <v>A669</v>
      </c>
      <c r="B1359" s="39">
        <f>SUMIFS(ItemInvoiceTracker!C:C,ItemInvoiceTracker!E:E,Data!A1359)</f>
        <v>0</v>
      </c>
    </row>
    <row r="1360" spans="1:2" x14ac:dyDescent="0.3">
      <c r="A1360" s="38" t="str">
        <f>Lookup!A1360</f>
        <v>A670</v>
      </c>
      <c r="B1360" s="39">
        <f>SUMIFS(ItemInvoiceTracker!C:C,ItemInvoiceTracker!E:E,Data!A1360)</f>
        <v>0</v>
      </c>
    </row>
    <row r="1361" spans="1:2" x14ac:dyDescent="0.3">
      <c r="A1361" s="38" t="str">
        <f>Lookup!A1361</f>
        <v>A671</v>
      </c>
      <c r="B1361" s="39">
        <f>SUMIFS(ItemInvoiceTracker!C:C,ItemInvoiceTracker!E:E,Data!A1361)</f>
        <v>0</v>
      </c>
    </row>
    <row r="1362" spans="1:2" x14ac:dyDescent="0.3">
      <c r="A1362" s="38" t="str">
        <f>Lookup!A1362</f>
        <v>A672</v>
      </c>
      <c r="B1362" s="39">
        <f>SUMIFS(ItemInvoiceTracker!C:C,ItemInvoiceTracker!E:E,Data!A1362)</f>
        <v>0</v>
      </c>
    </row>
    <row r="1363" spans="1:2" x14ac:dyDescent="0.3">
      <c r="A1363" s="38" t="str">
        <f>Lookup!A1363</f>
        <v>A673</v>
      </c>
      <c r="B1363" s="39">
        <f>SUMIFS(ItemInvoiceTracker!C:C,ItemInvoiceTracker!E:E,Data!A1363)</f>
        <v>0</v>
      </c>
    </row>
    <row r="1364" spans="1:2" x14ac:dyDescent="0.3">
      <c r="A1364" s="38" t="str">
        <f>Lookup!A1364</f>
        <v>A674</v>
      </c>
      <c r="B1364" s="39">
        <f>SUMIFS(ItemInvoiceTracker!C:C,ItemInvoiceTracker!E:E,Data!A1364)</f>
        <v>0</v>
      </c>
    </row>
    <row r="1365" spans="1:2" x14ac:dyDescent="0.3">
      <c r="A1365" s="38" t="str">
        <f>Lookup!A1365</f>
        <v>A675</v>
      </c>
      <c r="B1365" s="39">
        <f>SUMIFS(ItemInvoiceTracker!C:C,ItemInvoiceTracker!E:E,Data!A1365)</f>
        <v>0</v>
      </c>
    </row>
    <row r="1366" spans="1:2" x14ac:dyDescent="0.3">
      <c r="A1366" s="38" t="str">
        <f>Lookup!A1366</f>
        <v>A676</v>
      </c>
      <c r="B1366" s="39">
        <f>SUMIFS(ItemInvoiceTracker!C:C,ItemInvoiceTracker!E:E,Data!A1366)</f>
        <v>0</v>
      </c>
    </row>
    <row r="1367" spans="1:2" x14ac:dyDescent="0.3">
      <c r="A1367" s="38" t="str">
        <f>Lookup!A1367</f>
        <v>A677</v>
      </c>
      <c r="B1367" s="39">
        <f>SUMIFS(ItemInvoiceTracker!C:C,ItemInvoiceTracker!E:E,Data!A1367)</f>
        <v>0</v>
      </c>
    </row>
    <row r="1368" spans="1:2" x14ac:dyDescent="0.3">
      <c r="A1368" s="38" t="str">
        <f>Lookup!A1368</f>
        <v>A678</v>
      </c>
      <c r="B1368" s="39">
        <f>SUMIFS(ItemInvoiceTracker!C:C,ItemInvoiceTracker!E:E,Data!A1368)</f>
        <v>0</v>
      </c>
    </row>
    <row r="1369" spans="1:2" x14ac:dyDescent="0.3">
      <c r="A1369" s="38" t="str">
        <f>Lookup!A1369</f>
        <v>A679</v>
      </c>
      <c r="B1369" s="39">
        <f>SUMIFS(ItemInvoiceTracker!C:C,ItemInvoiceTracker!E:E,Data!A1369)</f>
        <v>0</v>
      </c>
    </row>
    <row r="1370" spans="1:2" x14ac:dyDescent="0.3">
      <c r="A1370" s="38" t="str">
        <f>Lookup!A1370</f>
        <v>A680</v>
      </c>
      <c r="B1370" s="39">
        <f>SUMIFS(ItemInvoiceTracker!C:C,ItemInvoiceTracker!E:E,Data!A1370)</f>
        <v>0</v>
      </c>
    </row>
    <row r="1371" spans="1:2" x14ac:dyDescent="0.3">
      <c r="A1371" s="38" t="str">
        <f>Lookup!A1371</f>
        <v>A681</v>
      </c>
      <c r="B1371" s="39">
        <f>SUMIFS(ItemInvoiceTracker!C:C,ItemInvoiceTracker!E:E,Data!A1371)</f>
        <v>0</v>
      </c>
    </row>
    <row r="1372" spans="1:2" x14ac:dyDescent="0.3">
      <c r="A1372" s="38" t="str">
        <f>Lookup!A1372</f>
        <v>A682</v>
      </c>
      <c r="B1372" s="39">
        <f>SUMIFS(ItemInvoiceTracker!C:C,ItemInvoiceTracker!E:E,Data!A1372)</f>
        <v>0</v>
      </c>
    </row>
    <row r="1373" spans="1:2" x14ac:dyDescent="0.3">
      <c r="A1373" s="38" t="str">
        <f>Lookup!A1373</f>
        <v>A683</v>
      </c>
      <c r="B1373" s="39">
        <f>SUMIFS(ItemInvoiceTracker!C:C,ItemInvoiceTracker!E:E,Data!A1373)</f>
        <v>0</v>
      </c>
    </row>
    <row r="1374" spans="1:2" x14ac:dyDescent="0.3">
      <c r="A1374" s="38" t="str">
        <f>Lookup!A1374</f>
        <v>A684</v>
      </c>
      <c r="B1374" s="39">
        <f>SUMIFS(ItemInvoiceTracker!C:C,ItemInvoiceTracker!E:E,Data!A1374)</f>
        <v>0</v>
      </c>
    </row>
    <row r="1375" spans="1:2" x14ac:dyDescent="0.3">
      <c r="A1375" s="38" t="str">
        <f>Lookup!A1375</f>
        <v>A685</v>
      </c>
      <c r="B1375" s="39">
        <f>SUMIFS(ItemInvoiceTracker!C:C,ItemInvoiceTracker!E:E,Data!A1375)</f>
        <v>0</v>
      </c>
    </row>
    <row r="1376" spans="1:2" x14ac:dyDescent="0.3">
      <c r="A1376" s="38" t="str">
        <f>Lookup!A1376</f>
        <v>A686</v>
      </c>
      <c r="B1376" s="39">
        <f>SUMIFS(ItemInvoiceTracker!C:C,ItemInvoiceTracker!E:E,Data!A1376)</f>
        <v>0</v>
      </c>
    </row>
    <row r="1377" spans="1:2" x14ac:dyDescent="0.3">
      <c r="A1377" s="38" t="str">
        <f>Lookup!A1377</f>
        <v>A687</v>
      </c>
      <c r="B1377" s="39">
        <f>SUMIFS(ItemInvoiceTracker!C:C,ItemInvoiceTracker!E:E,Data!A1377)</f>
        <v>0</v>
      </c>
    </row>
    <row r="1378" spans="1:2" x14ac:dyDescent="0.3">
      <c r="A1378" s="38" t="str">
        <f>Lookup!A1378</f>
        <v>A688</v>
      </c>
      <c r="B1378" s="39">
        <f>SUMIFS(ItemInvoiceTracker!C:C,ItemInvoiceTracker!E:E,Data!A1378)</f>
        <v>0</v>
      </c>
    </row>
    <row r="1379" spans="1:2" x14ac:dyDescent="0.3">
      <c r="A1379" s="38" t="str">
        <f>Lookup!A1379</f>
        <v>A689</v>
      </c>
      <c r="B1379" s="39">
        <f>SUMIFS(ItemInvoiceTracker!C:C,ItemInvoiceTracker!E:E,Data!A1379)</f>
        <v>0</v>
      </c>
    </row>
    <row r="1380" spans="1:2" x14ac:dyDescent="0.3">
      <c r="A1380" s="38" t="str">
        <f>Lookup!A1380</f>
        <v>A690</v>
      </c>
      <c r="B1380" s="39">
        <f>SUMIFS(ItemInvoiceTracker!C:C,ItemInvoiceTracker!E:E,Data!A1380)</f>
        <v>0</v>
      </c>
    </row>
    <row r="1381" spans="1:2" x14ac:dyDescent="0.3">
      <c r="A1381" s="38" t="str">
        <f>Lookup!A1381</f>
        <v>A691</v>
      </c>
      <c r="B1381" s="39">
        <f>SUMIFS(ItemInvoiceTracker!C:C,ItemInvoiceTracker!E:E,Data!A1381)</f>
        <v>0</v>
      </c>
    </row>
    <row r="1382" spans="1:2" x14ac:dyDescent="0.3">
      <c r="A1382" s="38" t="str">
        <f>Lookup!A1382</f>
        <v>A692</v>
      </c>
      <c r="B1382" s="39">
        <f>SUMIFS(ItemInvoiceTracker!C:C,ItemInvoiceTracker!E:E,Data!A1382)</f>
        <v>0</v>
      </c>
    </row>
    <row r="1383" spans="1:2" x14ac:dyDescent="0.3">
      <c r="A1383" s="38" t="str">
        <f>Lookup!A1383</f>
        <v>A693</v>
      </c>
      <c r="B1383" s="39">
        <f>SUMIFS(ItemInvoiceTracker!C:C,ItemInvoiceTracker!E:E,Data!A1383)</f>
        <v>0</v>
      </c>
    </row>
    <row r="1384" spans="1:2" x14ac:dyDescent="0.3">
      <c r="A1384" s="38" t="str">
        <f>Lookup!A1384</f>
        <v>A694</v>
      </c>
      <c r="B1384" s="39">
        <f>SUMIFS(ItemInvoiceTracker!C:C,ItemInvoiceTracker!E:E,Data!A1384)</f>
        <v>0</v>
      </c>
    </row>
    <row r="1385" spans="1:2" x14ac:dyDescent="0.3">
      <c r="A1385" s="38" t="str">
        <f>Lookup!A1385</f>
        <v>A695</v>
      </c>
      <c r="B1385" s="39">
        <f>SUMIFS(ItemInvoiceTracker!C:C,ItemInvoiceTracker!E:E,Data!A1385)</f>
        <v>0</v>
      </c>
    </row>
    <row r="1386" spans="1:2" x14ac:dyDescent="0.3">
      <c r="A1386" s="38" t="str">
        <f>Lookup!A1386</f>
        <v>A696</v>
      </c>
      <c r="B1386" s="39">
        <f>SUMIFS(ItemInvoiceTracker!C:C,ItemInvoiceTracker!E:E,Data!A1386)</f>
        <v>0</v>
      </c>
    </row>
    <row r="1387" spans="1:2" x14ac:dyDescent="0.3">
      <c r="A1387" s="38" t="str">
        <f>Lookup!A1387</f>
        <v>A697</v>
      </c>
      <c r="B1387" s="39">
        <f>SUMIFS(ItemInvoiceTracker!C:C,ItemInvoiceTracker!E:E,Data!A1387)</f>
        <v>0</v>
      </c>
    </row>
    <row r="1388" spans="1:2" x14ac:dyDescent="0.3">
      <c r="A1388" s="38" t="str">
        <f>Lookup!A1388</f>
        <v>A698</v>
      </c>
      <c r="B1388" s="39">
        <f>SUMIFS(ItemInvoiceTracker!C:C,ItemInvoiceTracker!E:E,Data!A1388)</f>
        <v>0</v>
      </c>
    </row>
    <row r="1389" spans="1:2" x14ac:dyDescent="0.3">
      <c r="A1389" s="38" t="str">
        <f>Lookup!A1389</f>
        <v>A699</v>
      </c>
      <c r="B1389" s="39">
        <f>SUMIFS(ItemInvoiceTracker!C:C,ItemInvoiceTracker!E:E,Data!A1389)</f>
        <v>0</v>
      </c>
    </row>
    <row r="1390" spans="1:2" x14ac:dyDescent="0.3">
      <c r="A1390" s="38" t="str">
        <f>Lookup!A1390</f>
        <v>A700</v>
      </c>
      <c r="B1390" s="39">
        <f>SUMIFS(ItemInvoiceTracker!C:C,ItemInvoiceTracker!E:E,Data!A1390)</f>
        <v>0</v>
      </c>
    </row>
    <row r="1391" spans="1:2" x14ac:dyDescent="0.3">
      <c r="A1391" s="38" t="str">
        <f>Lookup!A1391</f>
        <v>A701</v>
      </c>
      <c r="B1391" s="39">
        <f>SUMIFS(ItemInvoiceTracker!C:C,ItemInvoiceTracker!E:E,Data!A1391)</f>
        <v>0</v>
      </c>
    </row>
    <row r="1392" spans="1:2" x14ac:dyDescent="0.3">
      <c r="A1392" s="38" t="str">
        <f>Lookup!A1392</f>
        <v>A702</v>
      </c>
      <c r="B1392" s="39">
        <f>SUMIFS(ItemInvoiceTracker!C:C,ItemInvoiceTracker!E:E,Data!A1392)</f>
        <v>0</v>
      </c>
    </row>
    <row r="1393" spans="1:2" x14ac:dyDescent="0.3">
      <c r="A1393" s="38" t="str">
        <f>Lookup!A1393</f>
        <v>A703</v>
      </c>
      <c r="B1393" s="39">
        <f>SUMIFS(ItemInvoiceTracker!C:C,ItemInvoiceTracker!E:E,Data!A1393)</f>
        <v>0</v>
      </c>
    </row>
    <row r="1394" spans="1:2" x14ac:dyDescent="0.3">
      <c r="A1394" s="38" t="str">
        <f>Lookup!A1394</f>
        <v>A704</v>
      </c>
      <c r="B1394" s="39">
        <f>SUMIFS(ItemInvoiceTracker!C:C,ItemInvoiceTracker!E:E,Data!A1394)</f>
        <v>0</v>
      </c>
    </row>
    <row r="1395" spans="1:2" x14ac:dyDescent="0.3">
      <c r="A1395" s="38" t="str">
        <f>Lookup!A1395</f>
        <v>A705</v>
      </c>
      <c r="B1395" s="39">
        <f>SUMIFS(ItemInvoiceTracker!C:C,ItemInvoiceTracker!E:E,Data!A1395)</f>
        <v>0</v>
      </c>
    </row>
    <row r="1396" spans="1:2" x14ac:dyDescent="0.3">
      <c r="A1396" s="38" t="str">
        <f>Lookup!A1396</f>
        <v>A706</v>
      </c>
      <c r="B1396" s="39">
        <f>SUMIFS(ItemInvoiceTracker!C:C,ItemInvoiceTracker!E:E,Data!A1396)</f>
        <v>0</v>
      </c>
    </row>
    <row r="1397" spans="1:2" x14ac:dyDescent="0.3">
      <c r="A1397" s="38" t="str">
        <f>Lookup!A1397</f>
        <v>A707</v>
      </c>
      <c r="B1397" s="39">
        <f>SUMIFS(ItemInvoiceTracker!C:C,ItemInvoiceTracker!E:E,Data!A1397)</f>
        <v>0</v>
      </c>
    </row>
    <row r="1398" spans="1:2" x14ac:dyDescent="0.3">
      <c r="A1398" s="38" t="str">
        <f>Lookup!A1398</f>
        <v>A708</v>
      </c>
      <c r="B1398" s="39">
        <f>SUMIFS(ItemInvoiceTracker!C:C,ItemInvoiceTracker!E:E,Data!A1398)</f>
        <v>0</v>
      </c>
    </row>
    <row r="1399" spans="1:2" x14ac:dyDescent="0.3">
      <c r="A1399" s="38" t="str">
        <f>Lookup!A1399</f>
        <v>A709</v>
      </c>
      <c r="B1399" s="39">
        <f>SUMIFS(ItemInvoiceTracker!C:C,ItemInvoiceTracker!E:E,Data!A1399)</f>
        <v>0</v>
      </c>
    </row>
    <row r="1400" spans="1:2" x14ac:dyDescent="0.3">
      <c r="A1400" s="38" t="str">
        <f>Lookup!A1400</f>
        <v>A710</v>
      </c>
      <c r="B1400" s="39">
        <f>SUMIFS(ItemInvoiceTracker!C:C,ItemInvoiceTracker!E:E,Data!A1400)</f>
        <v>0</v>
      </c>
    </row>
    <row r="1401" spans="1:2" x14ac:dyDescent="0.3">
      <c r="A1401" s="38" t="str">
        <f>Lookup!A1401</f>
        <v>A711</v>
      </c>
      <c r="B1401" s="39">
        <f>SUMIFS(ItemInvoiceTracker!C:C,ItemInvoiceTracker!E:E,Data!A1401)</f>
        <v>0</v>
      </c>
    </row>
    <row r="1402" spans="1:2" x14ac:dyDescent="0.3">
      <c r="A1402" s="38" t="str">
        <f>Lookup!A1402</f>
        <v>A712</v>
      </c>
      <c r="B1402" s="39">
        <f>SUMIFS(ItemInvoiceTracker!C:C,ItemInvoiceTracker!E:E,Data!A1402)</f>
        <v>0</v>
      </c>
    </row>
    <row r="1403" spans="1:2" x14ac:dyDescent="0.3">
      <c r="A1403" s="38" t="str">
        <f>Lookup!A1403</f>
        <v>A713</v>
      </c>
      <c r="B1403" s="39">
        <f>SUMIFS(ItemInvoiceTracker!C:C,ItemInvoiceTracker!E:E,Data!A1403)</f>
        <v>0</v>
      </c>
    </row>
    <row r="1404" spans="1:2" x14ac:dyDescent="0.3">
      <c r="A1404" s="38" t="str">
        <f>Lookup!A1404</f>
        <v>A714</v>
      </c>
      <c r="B1404" s="39">
        <f>SUMIFS(ItemInvoiceTracker!C:C,ItemInvoiceTracker!E:E,Data!A1404)</f>
        <v>0</v>
      </c>
    </row>
    <row r="1405" spans="1:2" x14ac:dyDescent="0.3">
      <c r="A1405" s="38" t="str">
        <f>Lookup!A1405</f>
        <v>A715</v>
      </c>
      <c r="B1405" s="39">
        <f>SUMIFS(ItemInvoiceTracker!C:C,ItemInvoiceTracker!E:E,Data!A1405)</f>
        <v>0</v>
      </c>
    </row>
    <row r="1406" spans="1:2" x14ac:dyDescent="0.3">
      <c r="A1406" s="38" t="str">
        <f>Lookup!A1406</f>
        <v>A716</v>
      </c>
      <c r="B1406" s="39">
        <f>SUMIFS(ItemInvoiceTracker!C:C,ItemInvoiceTracker!E:E,Data!A1406)</f>
        <v>0</v>
      </c>
    </row>
    <row r="1407" spans="1:2" x14ac:dyDescent="0.3">
      <c r="A1407" s="38" t="str">
        <f>Lookup!A1407</f>
        <v>A717</v>
      </c>
      <c r="B1407" s="39">
        <f>SUMIFS(ItemInvoiceTracker!C:C,ItemInvoiceTracker!E:E,Data!A1407)</f>
        <v>0</v>
      </c>
    </row>
    <row r="1408" spans="1:2" x14ac:dyDescent="0.3">
      <c r="A1408" s="38" t="str">
        <f>Lookup!A1408</f>
        <v>A718</v>
      </c>
      <c r="B1408" s="39">
        <f>SUMIFS(ItemInvoiceTracker!C:C,ItemInvoiceTracker!E:E,Data!A1408)</f>
        <v>0</v>
      </c>
    </row>
    <row r="1409" spans="1:2" x14ac:dyDescent="0.3">
      <c r="A1409" s="38" t="str">
        <f>Lookup!A1409</f>
        <v>A719</v>
      </c>
      <c r="B1409" s="39">
        <f>SUMIFS(ItemInvoiceTracker!C:C,ItemInvoiceTracker!E:E,Data!A1409)</f>
        <v>0</v>
      </c>
    </row>
    <row r="1410" spans="1:2" x14ac:dyDescent="0.3">
      <c r="A1410" s="38" t="str">
        <f>Lookup!A1410</f>
        <v>A720</v>
      </c>
      <c r="B1410" s="39">
        <f>SUMIFS(ItemInvoiceTracker!C:C,ItemInvoiceTracker!E:E,Data!A1410)</f>
        <v>0</v>
      </c>
    </row>
    <row r="1411" spans="1:2" x14ac:dyDescent="0.3">
      <c r="A1411" s="38" t="str">
        <f>Lookup!A1411</f>
        <v>A721</v>
      </c>
      <c r="B1411" s="39">
        <f>SUMIFS(ItemInvoiceTracker!C:C,ItemInvoiceTracker!E:E,Data!A1411)</f>
        <v>0</v>
      </c>
    </row>
    <row r="1412" spans="1:2" x14ac:dyDescent="0.3">
      <c r="A1412" s="38" t="str">
        <f>Lookup!A1412</f>
        <v>A722</v>
      </c>
      <c r="B1412" s="39">
        <f>SUMIFS(ItemInvoiceTracker!C:C,ItemInvoiceTracker!E:E,Data!A1412)</f>
        <v>0</v>
      </c>
    </row>
    <row r="1413" spans="1:2" x14ac:dyDescent="0.3">
      <c r="A1413" s="38" t="str">
        <f>Lookup!A1413</f>
        <v>A723</v>
      </c>
      <c r="B1413" s="39">
        <f>SUMIFS(ItemInvoiceTracker!C:C,ItemInvoiceTracker!E:E,Data!A1413)</f>
        <v>0</v>
      </c>
    </row>
    <row r="1414" spans="1:2" x14ac:dyDescent="0.3">
      <c r="A1414" s="38" t="str">
        <f>Lookup!A1414</f>
        <v>A724</v>
      </c>
      <c r="B1414" s="39">
        <f>SUMIFS(ItemInvoiceTracker!C:C,ItemInvoiceTracker!E:E,Data!A1414)</f>
        <v>0</v>
      </c>
    </row>
    <row r="1415" spans="1:2" x14ac:dyDescent="0.3">
      <c r="A1415" s="38" t="str">
        <f>Lookup!A1415</f>
        <v>A725</v>
      </c>
      <c r="B1415" s="39">
        <f>SUMIFS(ItemInvoiceTracker!C:C,ItemInvoiceTracker!E:E,Data!A1415)</f>
        <v>0</v>
      </c>
    </row>
    <row r="1416" spans="1:2" x14ac:dyDescent="0.3">
      <c r="A1416" s="38" t="str">
        <f>Lookup!A1416</f>
        <v>A726</v>
      </c>
      <c r="B1416" s="39">
        <f>SUMIFS(ItemInvoiceTracker!C:C,ItemInvoiceTracker!E:E,Data!A1416)</f>
        <v>0</v>
      </c>
    </row>
    <row r="1417" spans="1:2" x14ac:dyDescent="0.3">
      <c r="A1417" s="38" t="str">
        <f>Lookup!A1417</f>
        <v>A727</v>
      </c>
      <c r="B1417" s="39">
        <f>SUMIFS(ItemInvoiceTracker!C:C,ItemInvoiceTracker!E:E,Data!A1417)</f>
        <v>0</v>
      </c>
    </row>
    <row r="1418" spans="1:2" x14ac:dyDescent="0.3">
      <c r="A1418" s="38" t="str">
        <f>Lookup!A1418</f>
        <v>A728</v>
      </c>
      <c r="B1418" s="39">
        <f>SUMIFS(ItemInvoiceTracker!C:C,ItemInvoiceTracker!E:E,Data!A1418)</f>
        <v>0</v>
      </c>
    </row>
    <row r="1419" spans="1:2" x14ac:dyDescent="0.3">
      <c r="A1419" s="38" t="str">
        <f>Lookup!A1419</f>
        <v>A729</v>
      </c>
      <c r="B1419" s="39">
        <f>SUMIFS(ItemInvoiceTracker!C:C,ItemInvoiceTracker!E:E,Data!A1419)</f>
        <v>0</v>
      </c>
    </row>
    <row r="1420" spans="1:2" x14ac:dyDescent="0.3">
      <c r="A1420" s="38" t="str">
        <f>Lookup!A1420</f>
        <v>A730</v>
      </c>
      <c r="B1420" s="39">
        <f>SUMIFS(ItemInvoiceTracker!C:C,ItemInvoiceTracker!E:E,Data!A1420)</f>
        <v>0</v>
      </c>
    </row>
    <row r="1421" spans="1:2" x14ac:dyDescent="0.3">
      <c r="A1421" s="38" t="str">
        <f>Lookup!A1421</f>
        <v>A731</v>
      </c>
      <c r="B1421" s="39">
        <f>SUMIFS(ItemInvoiceTracker!C:C,ItemInvoiceTracker!E:E,Data!A1421)</f>
        <v>0</v>
      </c>
    </row>
    <row r="1422" spans="1:2" x14ac:dyDescent="0.3">
      <c r="A1422" s="38" t="str">
        <f>Lookup!A1422</f>
        <v>A732</v>
      </c>
      <c r="B1422" s="39">
        <f>SUMIFS(ItemInvoiceTracker!C:C,ItemInvoiceTracker!E:E,Data!A1422)</f>
        <v>0</v>
      </c>
    </row>
    <row r="1423" spans="1:2" x14ac:dyDescent="0.3">
      <c r="A1423" s="38" t="str">
        <f>Lookup!A1423</f>
        <v>A733</v>
      </c>
      <c r="B1423" s="39">
        <f>SUMIFS(ItemInvoiceTracker!C:C,ItemInvoiceTracker!E:E,Data!A1423)</f>
        <v>0</v>
      </c>
    </row>
    <row r="1424" spans="1:2" x14ac:dyDescent="0.3">
      <c r="A1424" s="38" t="str">
        <f>Lookup!A1424</f>
        <v>A734</v>
      </c>
      <c r="B1424" s="39">
        <f>SUMIFS(ItemInvoiceTracker!C:C,ItemInvoiceTracker!E:E,Data!A1424)</f>
        <v>0</v>
      </c>
    </row>
    <row r="1425" spans="1:2" x14ac:dyDescent="0.3">
      <c r="A1425" s="38" t="str">
        <f>Lookup!A1425</f>
        <v>A735</v>
      </c>
      <c r="B1425" s="39">
        <f>SUMIFS(ItemInvoiceTracker!C:C,ItemInvoiceTracker!E:E,Data!A1425)</f>
        <v>0</v>
      </c>
    </row>
    <row r="1426" spans="1:2" x14ac:dyDescent="0.3">
      <c r="A1426" s="38" t="str">
        <f>Lookup!A1426</f>
        <v>A736</v>
      </c>
      <c r="B1426" s="39">
        <f>SUMIFS(ItemInvoiceTracker!C:C,ItemInvoiceTracker!E:E,Data!A1426)</f>
        <v>0</v>
      </c>
    </row>
    <row r="1427" spans="1:2" x14ac:dyDescent="0.3">
      <c r="A1427" s="38" t="str">
        <f>Lookup!A1427</f>
        <v>A737</v>
      </c>
      <c r="B1427" s="39">
        <f>SUMIFS(ItemInvoiceTracker!C:C,ItemInvoiceTracker!E:E,Data!A1427)</f>
        <v>0</v>
      </c>
    </row>
    <row r="1428" spans="1:2" x14ac:dyDescent="0.3">
      <c r="A1428" s="38">
        <f>Lookup!A1428</f>
        <v>0</v>
      </c>
      <c r="B1428" s="39">
        <f>SUMIFS(ItemInvoiceTracker!C:C,ItemInvoiceTracker!E:E,Data!A1428)</f>
        <v>0</v>
      </c>
    </row>
    <row r="1429" spans="1:2" x14ac:dyDescent="0.3">
      <c r="A1429" s="38">
        <f>Lookup!A1429</f>
        <v>0</v>
      </c>
      <c r="B1429" s="39">
        <f>SUMIFS(ItemInvoiceTracker!C:C,ItemInvoiceTracker!E:E,Data!A1429)</f>
        <v>0</v>
      </c>
    </row>
    <row r="1430" spans="1:2" x14ac:dyDescent="0.3">
      <c r="A1430" s="38">
        <f>Lookup!A1430</f>
        <v>0</v>
      </c>
      <c r="B1430" s="39">
        <f>SUMIFS(ItemInvoiceTracker!C:C,ItemInvoiceTracker!E:E,Data!A1430)</f>
        <v>0</v>
      </c>
    </row>
    <row r="1431" spans="1:2" x14ac:dyDescent="0.3">
      <c r="A1431" s="38">
        <f>Lookup!A1431</f>
        <v>0</v>
      </c>
      <c r="B1431" s="39">
        <f>SUMIFS(ItemInvoiceTracker!C:C,ItemInvoiceTracker!E:E,Data!A1431)</f>
        <v>0</v>
      </c>
    </row>
    <row r="1432" spans="1:2" x14ac:dyDescent="0.3">
      <c r="A1432" s="38">
        <f>Lookup!A1432</f>
        <v>0</v>
      </c>
      <c r="B1432" s="39">
        <f>SUMIFS(ItemInvoiceTracker!C:C,ItemInvoiceTracker!E:E,Data!A1432)</f>
        <v>0</v>
      </c>
    </row>
    <row r="1433" spans="1:2" x14ac:dyDescent="0.3">
      <c r="A1433" s="38">
        <f>Lookup!A1433</f>
        <v>0</v>
      </c>
      <c r="B1433" s="39">
        <f>SUMIFS(ItemInvoiceTracker!C:C,ItemInvoiceTracker!E:E,Data!A1433)</f>
        <v>0</v>
      </c>
    </row>
    <row r="1434" spans="1:2" x14ac:dyDescent="0.3">
      <c r="A1434" s="38">
        <f>Lookup!A1434</f>
        <v>0</v>
      </c>
      <c r="B1434" s="39">
        <f>SUMIFS(ItemInvoiceTracker!C:C,ItemInvoiceTracker!E:E,Data!A1434)</f>
        <v>0</v>
      </c>
    </row>
    <row r="1435" spans="1:2" x14ac:dyDescent="0.3">
      <c r="A1435" s="38">
        <f>Lookup!A1435</f>
        <v>0</v>
      </c>
      <c r="B1435" s="39">
        <f>SUMIFS(ItemInvoiceTracker!C:C,ItemInvoiceTracker!E:E,Data!A1435)</f>
        <v>0</v>
      </c>
    </row>
    <row r="1436" spans="1:2" x14ac:dyDescent="0.3">
      <c r="A1436" s="38">
        <f>Lookup!A1436</f>
        <v>0</v>
      </c>
      <c r="B1436" s="39">
        <f>SUMIFS(ItemInvoiceTracker!C:C,ItemInvoiceTracker!E:E,Data!A1436)</f>
        <v>0</v>
      </c>
    </row>
    <row r="1437" spans="1:2" x14ac:dyDescent="0.3">
      <c r="A1437" s="38">
        <f>Lookup!A1437</f>
        <v>0</v>
      </c>
      <c r="B1437" s="39">
        <f>SUMIFS(ItemInvoiceTracker!C:C,ItemInvoiceTracker!E:E,Data!A1437)</f>
        <v>0</v>
      </c>
    </row>
    <row r="1438" spans="1:2" x14ac:dyDescent="0.3">
      <c r="A1438" s="38">
        <f>Lookup!A1438</f>
        <v>0</v>
      </c>
      <c r="B1438" s="39">
        <f>SUMIFS(ItemInvoiceTracker!C:C,ItemInvoiceTracker!E:E,Data!A1438)</f>
        <v>0</v>
      </c>
    </row>
    <row r="1439" spans="1:2" x14ac:dyDescent="0.3">
      <c r="A1439" s="38">
        <f>Lookup!A1439</f>
        <v>0</v>
      </c>
      <c r="B1439" s="39">
        <f>SUMIFS(ItemInvoiceTracker!C:C,ItemInvoiceTracker!E:E,Data!A1439)</f>
        <v>0</v>
      </c>
    </row>
    <row r="1440" spans="1:2" x14ac:dyDescent="0.3">
      <c r="A1440" s="38">
        <f>Lookup!A1440</f>
        <v>0</v>
      </c>
      <c r="B1440" s="39">
        <f>SUMIFS(ItemInvoiceTracker!C:C,ItemInvoiceTracker!E:E,Data!A1440)</f>
        <v>0</v>
      </c>
    </row>
    <row r="1441" spans="1:2" x14ac:dyDescent="0.3">
      <c r="A1441" s="38">
        <f>Lookup!A1441</f>
        <v>0</v>
      </c>
      <c r="B1441" s="39">
        <f>SUMIFS(ItemInvoiceTracker!C:C,ItemInvoiceTracker!E:E,Data!A1441)</f>
        <v>0</v>
      </c>
    </row>
    <row r="1442" spans="1:2" x14ac:dyDescent="0.3">
      <c r="A1442" s="38">
        <f>Lookup!A1442</f>
        <v>0</v>
      </c>
      <c r="B1442" s="39">
        <f>SUMIFS(ItemInvoiceTracker!C:C,ItemInvoiceTracker!E:E,Data!A1442)</f>
        <v>0</v>
      </c>
    </row>
    <row r="1443" spans="1:2" x14ac:dyDescent="0.3">
      <c r="A1443" s="38">
        <f>Lookup!A1443</f>
        <v>0</v>
      </c>
      <c r="B1443" s="39">
        <f>SUMIFS(ItemInvoiceTracker!C:C,ItemInvoiceTracker!E:E,Data!A1443)</f>
        <v>0</v>
      </c>
    </row>
    <row r="1444" spans="1:2" x14ac:dyDescent="0.3">
      <c r="A1444" s="38">
        <f>Lookup!A1444</f>
        <v>0</v>
      </c>
      <c r="B1444" s="39">
        <f>SUMIFS(ItemInvoiceTracker!C:C,ItemInvoiceTracker!E:E,Data!A1444)</f>
        <v>0</v>
      </c>
    </row>
    <row r="1445" spans="1:2" x14ac:dyDescent="0.3">
      <c r="A1445" s="38">
        <f>Lookup!A1445</f>
        <v>0</v>
      </c>
      <c r="B1445" s="39">
        <f>SUMIFS(ItemInvoiceTracker!C:C,ItemInvoiceTracker!E:E,Data!A1445)</f>
        <v>0</v>
      </c>
    </row>
    <row r="1446" spans="1:2" x14ac:dyDescent="0.3">
      <c r="A1446" s="38">
        <f>Lookup!A1446</f>
        <v>0</v>
      </c>
      <c r="B1446" s="39">
        <f>SUMIFS(ItemInvoiceTracker!C:C,ItemInvoiceTracker!E:E,Data!A1446)</f>
        <v>0</v>
      </c>
    </row>
    <row r="1447" spans="1:2" x14ac:dyDescent="0.3">
      <c r="A1447" s="38">
        <f>Lookup!A1447</f>
        <v>0</v>
      </c>
      <c r="B1447" s="39">
        <f>SUMIFS(ItemInvoiceTracker!C:C,ItemInvoiceTracker!E:E,Data!A1447)</f>
        <v>0</v>
      </c>
    </row>
    <row r="1448" spans="1:2" x14ac:dyDescent="0.3">
      <c r="A1448" s="38">
        <f>Lookup!A1448</f>
        <v>0</v>
      </c>
      <c r="B1448" s="39">
        <f>SUMIFS(ItemInvoiceTracker!C:C,ItemInvoiceTracker!E:E,Data!A1448)</f>
        <v>0</v>
      </c>
    </row>
    <row r="1449" spans="1:2" x14ac:dyDescent="0.3">
      <c r="A1449" s="38">
        <f>Lookup!A1449</f>
        <v>0</v>
      </c>
      <c r="B1449" s="39">
        <f>SUMIFS(ItemInvoiceTracker!C:C,ItemInvoiceTracker!E:E,Data!A1449)</f>
        <v>0</v>
      </c>
    </row>
    <row r="1450" spans="1:2" x14ac:dyDescent="0.3">
      <c r="A1450" s="38">
        <f>Lookup!A1450</f>
        <v>0</v>
      </c>
      <c r="B1450" s="39">
        <f>SUMIFS(ItemInvoiceTracker!C:C,ItemInvoiceTracker!E:E,Data!A1450)</f>
        <v>0</v>
      </c>
    </row>
    <row r="1451" spans="1:2" x14ac:dyDescent="0.3">
      <c r="A1451" s="38">
        <f>Lookup!A1451</f>
        <v>0</v>
      </c>
      <c r="B1451" s="39">
        <f>SUMIFS(ItemInvoiceTracker!C:C,ItemInvoiceTracker!E:E,Data!A1451)</f>
        <v>0</v>
      </c>
    </row>
    <row r="1452" spans="1:2" x14ac:dyDescent="0.3">
      <c r="A1452" s="38">
        <f>Lookup!A1452</f>
        <v>0</v>
      </c>
      <c r="B1452" s="39">
        <f>SUMIFS(ItemInvoiceTracker!C:C,ItemInvoiceTracker!E:E,Data!A1452)</f>
        <v>0</v>
      </c>
    </row>
    <row r="1453" spans="1:2" x14ac:dyDescent="0.3">
      <c r="A1453" s="38">
        <f>Lookup!A1453</f>
        <v>0</v>
      </c>
      <c r="B1453" s="39">
        <f>SUMIFS(ItemInvoiceTracker!C:C,ItemInvoiceTracker!E:E,Data!A1453)</f>
        <v>0</v>
      </c>
    </row>
    <row r="1454" spans="1:2" x14ac:dyDescent="0.3">
      <c r="A1454" s="38">
        <f>Lookup!A1454</f>
        <v>0</v>
      </c>
      <c r="B1454" s="39">
        <f>SUMIFS(ItemInvoiceTracker!C:C,ItemInvoiceTracker!E:E,Data!A1454)</f>
        <v>0</v>
      </c>
    </row>
    <row r="1455" spans="1:2" x14ac:dyDescent="0.3">
      <c r="A1455" s="38">
        <f>Lookup!A1455</f>
        <v>0</v>
      </c>
      <c r="B1455" s="39">
        <f>SUMIFS(ItemInvoiceTracker!C:C,ItemInvoiceTracker!E:E,Data!A1455)</f>
        <v>0</v>
      </c>
    </row>
    <row r="1456" spans="1:2" x14ac:dyDescent="0.3">
      <c r="A1456" s="38">
        <f>Lookup!A1456</f>
        <v>0</v>
      </c>
      <c r="B1456" s="39">
        <f>SUMIFS(ItemInvoiceTracker!C:C,ItemInvoiceTracker!E:E,Data!A1456)</f>
        <v>0</v>
      </c>
    </row>
    <row r="1457" spans="1:2" x14ac:dyDescent="0.3">
      <c r="A1457" s="38">
        <f>Lookup!A1457</f>
        <v>0</v>
      </c>
      <c r="B1457" s="39">
        <f>SUMIFS(ItemInvoiceTracker!C:C,ItemInvoiceTracker!E:E,Data!A1457)</f>
        <v>0</v>
      </c>
    </row>
    <row r="1458" spans="1:2" x14ac:dyDescent="0.3">
      <c r="A1458" s="38">
        <f>Lookup!A1458</f>
        <v>0</v>
      </c>
      <c r="B1458" s="39">
        <f>SUMIFS(ItemInvoiceTracker!C:C,ItemInvoiceTracker!E:E,Data!A1458)</f>
        <v>0</v>
      </c>
    </row>
    <row r="1459" spans="1:2" x14ac:dyDescent="0.3">
      <c r="A1459" s="38">
        <f>Lookup!A1459</f>
        <v>0</v>
      </c>
      <c r="B1459" s="39">
        <f>SUMIFS(ItemInvoiceTracker!C:C,ItemInvoiceTracker!E:E,Data!A1459)</f>
        <v>0</v>
      </c>
    </row>
    <row r="1460" spans="1:2" x14ac:dyDescent="0.3">
      <c r="A1460" s="38">
        <f>Lookup!A1460</f>
        <v>0</v>
      </c>
      <c r="B1460" s="39">
        <f>SUMIFS(ItemInvoiceTracker!C:C,ItemInvoiceTracker!E:E,Data!A1460)</f>
        <v>0</v>
      </c>
    </row>
    <row r="1461" spans="1:2" x14ac:dyDescent="0.3">
      <c r="A1461" s="38">
        <f>Lookup!A1461</f>
        <v>0</v>
      </c>
      <c r="B1461" s="39">
        <f>SUMIFS(ItemInvoiceTracker!C:C,ItemInvoiceTracker!E:E,Data!A1461)</f>
        <v>0</v>
      </c>
    </row>
    <row r="1462" spans="1:2" x14ac:dyDescent="0.3">
      <c r="A1462" s="38">
        <f>Lookup!A1462</f>
        <v>0</v>
      </c>
      <c r="B1462" s="39">
        <f>SUMIFS(ItemInvoiceTracker!C:C,ItemInvoiceTracker!E:E,Data!A1462)</f>
        <v>0</v>
      </c>
    </row>
    <row r="1463" spans="1:2" x14ac:dyDescent="0.3">
      <c r="A1463" s="38">
        <f>Lookup!A1463</f>
        <v>0</v>
      </c>
      <c r="B1463" s="39">
        <f>SUMIFS(ItemInvoiceTracker!C:C,ItemInvoiceTracker!E:E,Data!A1463)</f>
        <v>0</v>
      </c>
    </row>
    <row r="1464" spans="1:2" x14ac:dyDescent="0.3">
      <c r="A1464" s="38">
        <f>Lookup!A1464</f>
        <v>0</v>
      </c>
      <c r="B1464" s="39">
        <f>SUMIFS(ItemInvoiceTracker!C:C,ItemInvoiceTracker!E:E,Data!A1464)</f>
        <v>0</v>
      </c>
    </row>
    <row r="1465" spans="1:2" x14ac:dyDescent="0.3">
      <c r="A1465" s="38">
        <f>Lookup!A1465</f>
        <v>0</v>
      </c>
      <c r="B1465" s="39">
        <f>SUMIFS(ItemInvoiceTracker!C:C,ItemInvoiceTracker!E:E,Data!A1465)</f>
        <v>0</v>
      </c>
    </row>
    <row r="1466" spans="1:2" x14ac:dyDescent="0.3">
      <c r="A1466" s="38">
        <f>Lookup!A1466</f>
        <v>0</v>
      </c>
      <c r="B1466" s="39">
        <f>SUMIFS(ItemInvoiceTracker!C:C,ItemInvoiceTracker!E:E,Data!A1466)</f>
        <v>0</v>
      </c>
    </row>
    <row r="1467" spans="1:2" x14ac:dyDescent="0.3">
      <c r="A1467" s="38">
        <f>Lookup!A1467</f>
        <v>0</v>
      </c>
      <c r="B1467" s="39">
        <f>SUMIFS(ItemInvoiceTracker!C:C,ItemInvoiceTracker!E:E,Data!A1467)</f>
        <v>0</v>
      </c>
    </row>
    <row r="1468" spans="1:2" x14ac:dyDescent="0.3">
      <c r="A1468" s="38">
        <f>Lookup!A1468</f>
        <v>0</v>
      </c>
      <c r="B1468" s="39">
        <f>SUMIFS(ItemInvoiceTracker!C:C,ItemInvoiceTracker!E:E,Data!A1468)</f>
        <v>0</v>
      </c>
    </row>
    <row r="1469" spans="1:2" x14ac:dyDescent="0.3">
      <c r="A1469" s="38">
        <f>Lookup!A1469</f>
        <v>0</v>
      </c>
      <c r="B1469" s="39">
        <f>SUMIFS(ItemInvoiceTracker!C:C,ItemInvoiceTracker!E:E,Data!A1469)</f>
        <v>0</v>
      </c>
    </row>
    <row r="1470" spans="1:2" x14ac:dyDescent="0.3">
      <c r="A1470" s="38">
        <f>Lookup!A1470</f>
        <v>0</v>
      </c>
      <c r="B1470" s="39">
        <f>SUMIFS(ItemInvoiceTracker!C:C,ItemInvoiceTracker!E:E,Data!A1470)</f>
        <v>0</v>
      </c>
    </row>
    <row r="1471" spans="1:2" x14ac:dyDescent="0.3">
      <c r="A1471" s="38">
        <f>Lookup!A1471</f>
        <v>0</v>
      </c>
      <c r="B1471" s="39">
        <f>SUMIFS(ItemInvoiceTracker!C:C,ItemInvoiceTracker!E:E,Data!A1471)</f>
        <v>0</v>
      </c>
    </row>
    <row r="1472" spans="1:2" x14ac:dyDescent="0.3">
      <c r="A1472" s="38">
        <f>Lookup!A1472</f>
        <v>0</v>
      </c>
      <c r="B1472" s="39">
        <f>SUMIFS(ItemInvoiceTracker!C:C,ItemInvoiceTracker!E:E,Data!A1472)</f>
        <v>0</v>
      </c>
    </row>
    <row r="1473" spans="1:2" x14ac:dyDescent="0.3">
      <c r="A1473" s="38">
        <f>Lookup!A1473</f>
        <v>0</v>
      </c>
      <c r="B1473" s="39">
        <f>SUMIFS(ItemInvoiceTracker!C:C,ItemInvoiceTracker!E:E,Data!A1473)</f>
        <v>0</v>
      </c>
    </row>
    <row r="1474" spans="1:2" x14ac:dyDescent="0.3">
      <c r="A1474" s="38">
        <f>Lookup!A1474</f>
        <v>0</v>
      </c>
      <c r="B1474" s="39">
        <f>SUMIFS(ItemInvoiceTracker!C:C,ItemInvoiceTracker!E:E,Data!A1474)</f>
        <v>0</v>
      </c>
    </row>
    <row r="1475" spans="1:2" x14ac:dyDescent="0.3">
      <c r="A1475" s="38">
        <f>Lookup!A1475</f>
        <v>0</v>
      </c>
      <c r="B1475" s="39">
        <f>SUMIFS(ItemInvoiceTracker!C:C,ItemInvoiceTracker!E:E,Data!A1475)</f>
        <v>0</v>
      </c>
    </row>
    <row r="1476" spans="1:2" x14ac:dyDescent="0.3">
      <c r="A1476" s="38">
        <f>Lookup!A1476</f>
        <v>0</v>
      </c>
      <c r="B1476" s="39">
        <f>SUMIFS(ItemInvoiceTracker!C:C,ItemInvoiceTracker!E:E,Data!A1476)</f>
        <v>0</v>
      </c>
    </row>
    <row r="1477" spans="1:2" x14ac:dyDescent="0.3">
      <c r="A1477" s="38">
        <f>Lookup!A1477</f>
        <v>0</v>
      </c>
      <c r="B1477" s="39">
        <f>SUMIFS(ItemInvoiceTracker!C:C,ItemInvoiceTracker!E:E,Data!A1477)</f>
        <v>0</v>
      </c>
    </row>
    <row r="1478" spans="1:2" x14ac:dyDescent="0.3">
      <c r="A1478" s="38">
        <f>Lookup!A1478</f>
        <v>0</v>
      </c>
      <c r="B1478" s="39">
        <f>SUMIFS(ItemInvoiceTracker!C:C,ItemInvoiceTracker!E:E,Data!A1478)</f>
        <v>0</v>
      </c>
    </row>
    <row r="1479" spans="1:2" x14ac:dyDescent="0.3">
      <c r="A1479" s="38">
        <f>Lookup!A1479</f>
        <v>0</v>
      </c>
      <c r="B1479" s="39">
        <f>SUMIFS(ItemInvoiceTracker!C:C,ItemInvoiceTracker!E:E,Data!A1479)</f>
        <v>0</v>
      </c>
    </row>
    <row r="1480" spans="1:2" x14ac:dyDescent="0.3">
      <c r="A1480" s="38">
        <f>Lookup!A1480</f>
        <v>0</v>
      </c>
      <c r="B1480" s="39">
        <f>SUMIFS(ItemInvoiceTracker!C:C,ItemInvoiceTracker!E:E,Data!A1480)</f>
        <v>0</v>
      </c>
    </row>
    <row r="1481" spans="1:2" x14ac:dyDescent="0.3">
      <c r="A1481" s="38">
        <f>Lookup!A1481</f>
        <v>0</v>
      </c>
      <c r="B1481" s="39">
        <f>SUMIFS(ItemInvoiceTracker!C:C,ItemInvoiceTracker!E:E,Data!A1481)</f>
        <v>0</v>
      </c>
    </row>
    <row r="1482" spans="1:2" x14ac:dyDescent="0.3">
      <c r="A1482" s="38">
        <f>Lookup!A1482</f>
        <v>0</v>
      </c>
      <c r="B1482" s="39">
        <f>SUMIFS(ItemInvoiceTracker!C:C,ItemInvoiceTracker!E:E,Data!A1482)</f>
        <v>0</v>
      </c>
    </row>
    <row r="1483" spans="1:2" x14ac:dyDescent="0.3">
      <c r="A1483" s="38">
        <f>Lookup!A1483</f>
        <v>0</v>
      </c>
      <c r="B1483" s="39">
        <f>SUMIFS(ItemInvoiceTracker!C:C,ItemInvoiceTracker!E:E,Data!A1483)</f>
        <v>0</v>
      </c>
    </row>
    <row r="1484" spans="1:2" x14ac:dyDescent="0.3">
      <c r="A1484" s="38">
        <f>Lookup!A1484</f>
        <v>0</v>
      </c>
      <c r="B1484" s="39">
        <f>SUMIFS(ItemInvoiceTracker!C:C,ItemInvoiceTracker!E:E,Data!A1484)</f>
        <v>0</v>
      </c>
    </row>
    <row r="1485" spans="1:2" x14ac:dyDescent="0.3">
      <c r="A1485" s="38">
        <f>Lookup!A1485</f>
        <v>0</v>
      </c>
      <c r="B1485" s="39">
        <f>SUMIFS(ItemInvoiceTracker!C:C,ItemInvoiceTracker!E:E,Data!A1485)</f>
        <v>0</v>
      </c>
    </row>
    <row r="1486" spans="1:2" x14ac:dyDescent="0.3">
      <c r="A1486" s="38">
        <f>Lookup!A1486</f>
        <v>0</v>
      </c>
      <c r="B1486" s="39">
        <f>SUMIFS(ItemInvoiceTracker!C:C,ItemInvoiceTracker!E:E,Data!A1486)</f>
        <v>0</v>
      </c>
    </row>
    <row r="1487" spans="1:2" x14ac:dyDescent="0.3">
      <c r="A1487" s="38">
        <f>Lookup!A1487</f>
        <v>0</v>
      </c>
      <c r="B1487" s="39">
        <f>SUMIFS(ItemInvoiceTracker!C:C,ItemInvoiceTracker!E:E,Data!A1487)</f>
        <v>0</v>
      </c>
    </row>
    <row r="1488" spans="1:2" x14ac:dyDescent="0.3">
      <c r="A1488" s="38">
        <f>Lookup!A1488</f>
        <v>0</v>
      </c>
      <c r="B1488" s="39">
        <f>SUMIFS(ItemInvoiceTracker!C:C,ItemInvoiceTracker!E:E,Data!A1488)</f>
        <v>0</v>
      </c>
    </row>
    <row r="1489" spans="1:2" x14ac:dyDescent="0.3">
      <c r="A1489" s="38">
        <f>Lookup!A1489</f>
        <v>0</v>
      </c>
      <c r="B1489" s="39">
        <f>SUMIFS(ItemInvoiceTracker!C:C,ItemInvoiceTracker!E:E,Data!A1489)</f>
        <v>0</v>
      </c>
    </row>
    <row r="1490" spans="1:2" x14ac:dyDescent="0.3">
      <c r="A1490" s="38">
        <f>Lookup!A1490</f>
        <v>0</v>
      </c>
      <c r="B1490" s="39">
        <f>SUMIFS(ItemInvoiceTracker!C:C,ItemInvoiceTracker!E:E,Data!A1490)</f>
        <v>0</v>
      </c>
    </row>
    <row r="1491" spans="1:2" x14ac:dyDescent="0.3">
      <c r="A1491" s="38">
        <f>Lookup!A1491</f>
        <v>0</v>
      </c>
      <c r="B1491" s="39">
        <f>SUMIFS(ItemInvoiceTracker!C:C,ItemInvoiceTracker!E:E,Data!A1491)</f>
        <v>0</v>
      </c>
    </row>
    <row r="1492" spans="1:2" x14ac:dyDescent="0.3">
      <c r="A1492" s="38">
        <f>Lookup!A1492</f>
        <v>0</v>
      </c>
      <c r="B1492" s="39">
        <f>SUMIFS(ItemInvoiceTracker!C:C,ItemInvoiceTracker!E:E,Data!A1492)</f>
        <v>0</v>
      </c>
    </row>
    <row r="1493" spans="1:2" x14ac:dyDescent="0.3">
      <c r="A1493" s="38">
        <f>Lookup!A1493</f>
        <v>0</v>
      </c>
      <c r="B1493" s="39">
        <f>SUMIFS(ItemInvoiceTracker!C:C,ItemInvoiceTracker!E:E,Data!A1493)</f>
        <v>0</v>
      </c>
    </row>
    <row r="1494" spans="1:2" x14ac:dyDescent="0.3">
      <c r="A1494" s="38">
        <f>Lookup!A1494</f>
        <v>0</v>
      </c>
      <c r="B1494" s="39">
        <f>SUMIFS(ItemInvoiceTracker!C:C,ItemInvoiceTracker!E:E,Data!A1494)</f>
        <v>0</v>
      </c>
    </row>
    <row r="1495" spans="1:2" x14ac:dyDescent="0.3">
      <c r="A1495" s="38">
        <f>Lookup!A1495</f>
        <v>0</v>
      </c>
      <c r="B1495" s="39">
        <f>SUMIFS(ItemInvoiceTracker!C:C,ItemInvoiceTracker!E:E,Data!A1495)</f>
        <v>0</v>
      </c>
    </row>
    <row r="1496" spans="1:2" x14ac:dyDescent="0.3">
      <c r="A1496" s="38">
        <f>Lookup!A1496</f>
        <v>0</v>
      </c>
      <c r="B1496" s="39">
        <f>SUMIFS(ItemInvoiceTracker!C:C,ItemInvoiceTracker!E:E,Data!A1496)</f>
        <v>0</v>
      </c>
    </row>
    <row r="1497" spans="1:2" x14ac:dyDescent="0.3">
      <c r="A1497" s="38">
        <f>Lookup!A1497</f>
        <v>0</v>
      </c>
      <c r="B1497" s="39">
        <f>SUMIFS(ItemInvoiceTracker!C:C,ItemInvoiceTracker!E:E,Data!A1497)</f>
        <v>0</v>
      </c>
    </row>
    <row r="1498" spans="1:2" x14ac:dyDescent="0.3">
      <c r="A1498" s="38">
        <f>Lookup!A1498</f>
        <v>0</v>
      </c>
      <c r="B1498" s="39">
        <f>SUMIFS(ItemInvoiceTracker!C:C,ItemInvoiceTracker!E:E,Data!A1498)</f>
        <v>0</v>
      </c>
    </row>
    <row r="1499" spans="1:2" x14ac:dyDescent="0.3">
      <c r="A1499" s="38">
        <f>Lookup!A1499</f>
        <v>0</v>
      </c>
      <c r="B1499" s="39">
        <f>SUMIFS(ItemInvoiceTracker!C:C,ItemInvoiceTracker!E:E,Data!A1499)</f>
        <v>0</v>
      </c>
    </row>
    <row r="1500" spans="1:2" x14ac:dyDescent="0.3">
      <c r="A1500" s="38">
        <f>Lookup!A1500</f>
        <v>0</v>
      </c>
      <c r="B1500" s="39">
        <f>SUMIFS(ItemInvoiceTracker!C:C,ItemInvoiceTracker!E:E,Data!A1500)</f>
        <v>0</v>
      </c>
    </row>
    <row r="1501" spans="1:2" x14ac:dyDescent="0.3">
      <c r="A1501" s="38">
        <f>Lookup!A1501</f>
        <v>0</v>
      </c>
      <c r="B1501" s="39">
        <f>SUMIFS(ItemInvoiceTracker!C:C,ItemInvoiceTracker!E:E,Data!A1501)</f>
        <v>0</v>
      </c>
    </row>
    <row r="1502" spans="1:2" x14ac:dyDescent="0.3">
      <c r="A1502" s="38">
        <f>Lookup!A1502</f>
        <v>0</v>
      </c>
      <c r="B1502" s="39">
        <f>SUMIFS(ItemInvoiceTracker!C:C,ItemInvoiceTracker!E:E,Data!A1502)</f>
        <v>0</v>
      </c>
    </row>
    <row r="1503" spans="1:2" x14ac:dyDescent="0.3">
      <c r="A1503" s="38">
        <f>Lookup!A1503</f>
        <v>0</v>
      </c>
      <c r="B1503" s="39">
        <f>SUMIFS(ItemInvoiceTracker!C:C,ItemInvoiceTracker!E:E,Data!A1503)</f>
        <v>0</v>
      </c>
    </row>
    <row r="1504" spans="1:2" x14ac:dyDescent="0.3">
      <c r="A1504" s="38">
        <f>Lookup!A1504</f>
        <v>0</v>
      </c>
      <c r="B1504" s="39">
        <f>SUMIFS(ItemInvoiceTracker!C:C,ItemInvoiceTracker!E:E,Data!A1504)</f>
        <v>0</v>
      </c>
    </row>
    <row r="1505" spans="1:2" x14ac:dyDescent="0.3">
      <c r="A1505" s="38">
        <f>Lookup!A1505</f>
        <v>0</v>
      </c>
      <c r="B1505" s="39">
        <f>SUMIFS(ItemInvoiceTracker!C:C,ItemInvoiceTracker!E:E,Data!A1505)</f>
        <v>0</v>
      </c>
    </row>
    <row r="1506" spans="1:2" x14ac:dyDescent="0.3">
      <c r="A1506" s="38">
        <f>Lookup!A1506</f>
        <v>0</v>
      </c>
      <c r="B1506" s="39">
        <f>SUMIFS(ItemInvoiceTracker!C:C,ItemInvoiceTracker!E:E,Data!A1506)</f>
        <v>0</v>
      </c>
    </row>
    <row r="1507" spans="1:2" x14ac:dyDescent="0.3">
      <c r="A1507" s="38">
        <f>Lookup!A1507</f>
        <v>0</v>
      </c>
      <c r="B1507" s="39">
        <f>SUMIFS(ItemInvoiceTracker!C:C,ItemInvoiceTracker!E:E,Data!A1507)</f>
        <v>0</v>
      </c>
    </row>
    <row r="1508" spans="1:2" x14ac:dyDescent="0.3">
      <c r="A1508" s="38">
        <f>Lookup!A1508</f>
        <v>0</v>
      </c>
      <c r="B1508" s="39">
        <f>SUMIFS(ItemInvoiceTracker!C:C,ItemInvoiceTracker!E:E,Data!A1508)</f>
        <v>0</v>
      </c>
    </row>
    <row r="1509" spans="1:2" x14ac:dyDescent="0.3">
      <c r="A1509" s="38">
        <f>Lookup!A1509</f>
        <v>0</v>
      </c>
      <c r="B1509" s="39">
        <f>SUMIFS(ItemInvoiceTracker!C:C,ItemInvoiceTracker!E:E,Data!A1509)</f>
        <v>0</v>
      </c>
    </row>
    <row r="1510" spans="1:2" x14ac:dyDescent="0.3">
      <c r="A1510" s="38">
        <f>Lookup!A1510</f>
        <v>0</v>
      </c>
      <c r="B1510" s="39">
        <f>SUMIFS(ItemInvoiceTracker!C:C,ItemInvoiceTracker!E:E,Data!A1510)</f>
        <v>0</v>
      </c>
    </row>
    <row r="1511" spans="1:2" x14ac:dyDescent="0.3">
      <c r="A1511" s="38">
        <f>Lookup!A1511</f>
        <v>0</v>
      </c>
      <c r="B1511" s="39">
        <f>SUMIFS(ItemInvoiceTracker!C:C,ItemInvoiceTracker!E:E,Data!A1511)</f>
        <v>0</v>
      </c>
    </row>
    <row r="1512" spans="1:2" x14ac:dyDescent="0.3">
      <c r="A1512" s="38">
        <f>Lookup!A1512</f>
        <v>0</v>
      </c>
      <c r="B1512" s="39">
        <f>SUMIFS(ItemInvoiceTracker!C:C,ItemInvoiceTracker!E:E,Data!A1512)</f>
        <v>0</v>
      </c>
    </row>
    <row r="1513" spans="1:2" x14ac:dyDescent="0.3">
      <c r="A1513" s="38">
        <f>Lookup!A1513</f>
        <v>0</v>
      </c>
      <c r="B1513" s="39">
        <f>SUMIFS(ItemInvoiceTracker!C:C,ItemInvoiceTracker!E:E,Data!A1513)</f>
        <v>0</v>
      </c>
    </row>
    <row r="1514" spans="1:2" x14ac:dyDescent="0.3">
      <c r="A1514" s="38">
        <f>Lookup!A1514</f>
        <v>0</v>
      </c>
      <c r="B1514" s="39">
        <f>SUMIFS(ItemInvoiceTracker!C:C,ItemInvoiceTracker!E:E,Data!A1514)</f>
        <v>0</v>
      </c>
    </row>
    <row r="1515" spans="1:2" x14ac:dyDescent="0.3">
      <c r="A1515" s="38">
        <f>Lookup!A1515</f>
        <v>0</v>
      </c>
      <c r="B1515" s="39">
        <f>SUMIFS(ItemInvoiceTracker!C:C,ItemInvoiceTracker!E:E,Data!A1515)</f>
        <v>0</v>
      </c>
    </row>
    <row r="1516" spans="1:2" x14ac:dyDescent="0.3">
      <c r="A1516" s="38">
        <f>Lookup!A1516</f>
        <v>0</v>
      </c>
      <c r="B1516" s="39">
        <f>SUMIFS(ItemInvoiceTracker!C:C,ItemInvoiceTracker!E:E,Data!A1516)</f>
        <v>0</v>
      </c>
    </row>
    <row r="1517" spans="1:2" x14ac:dyDescent="0.3">
      <c r="A1517" s="38">
        <f>Lookup!A1517</f>
        <v>0</v>
      </c>
      <c r="B1517" s="39">
        <f>SUMIFS(ItemInvoiceTracker!C:C,ItemInvoiceTracker!E:E,Data!A1517)</f>
        <v>0</v>
      </c>
    </row>
    <row r="1518" spans="1:2" x14ac:dyDescent="0.3">
      <c r="A1518" s="38">
        <f>Lookup!A1518</f>
        <v>0</v>
      </c>
      <c r="B1518" s="39">
        <f>SUMIFS(ItemInvoiceTracker!C:C,ItemInvoiceTracker!E:E,Data!A1518)</f>
        <v>0</v>
      </c>
    </row>
    <row r="1519" spans="1:2" x14ac:dyDescent="0.3">
      <c r="A1519" s="38">
        <f>Lookup!A1519</f>
        <v>0</v>
      </c>
      <c r="B1519" s="39">
        <f>SUMIFS(ItemInvoiceTracker!C:C,ItemInvoiceTracker!E:E,Data!A1519)</f>
        <v>0</v>
      </c>
    </row>
    <row r="1520" spans="1:2" x14ac:dyDescent="0.3">
      <c r="A1520" s="38">
        <f>Lookup!A1520</f>
        <v>0</v>
      </c>
      <c r="B1520" s="39">
        <f>SUMIFS(ItemInvoiceTracker!C:C,ItemInvoiceTracker!E:E,Data!A1520)</f>
        <v>0</v>
      </c>
    </row>
    <row r="1521" spans="1:2" x14ac:dyDescent="0.3">
      <c r="A1521" s="38">
        <f>Lookup!A1521</f>
        <v>0</v>
      </c>
      <c r="B1521" s="39">
        <f>SUMIFS(ItemInvoiceTracker!C:C,ItemInvoiceTracker!E:E,Data!A1521)</f>
        <v>0</v>
      </c>
    </row>
    <row r="1522" spans="1:2" x14ac:dyDescent="0.3">
      <c r="A1522" s="38">
        <f>Lookup!A1522</f>
        <v>0</v>
      </c>
      <c r="B1522" s="39">
        <f>SUMIFS(ItemInvoiceTracker!C:C,ItemInvoiceTracker!E:E,Data!A1522)</f>
        <v>0</v>
      </c>
    </row>
    <row r="1523" spans="1:2" x14ac:dyDescent="0.3">
      <c r="A1523" s="38">
        <f>Lookup!A1523</f>
        <v>0</v>
      </c>
      <c r="B1523" s="39">
        <f>SUMIFS(ItemInvoiceTracker!C:C,ItemInvoiceTracker!E:E,Data!A1523)</f>
        <v>0</v>
      </c>
    </row>
    <row r="1524" spans="1:2" x14ac:dyDescent="0.3">
      <c r="A1524" s="38">
        <f>Lookup!A1524</f>
        <v>0</v>
      </c>
      <c r="B1524" s="39">
        <f>SUMIFS(ItemInvoiceTracker!C:C,ItemInvoiceTracker!E:E,Data!A1524)</f>
        <v>0</v>
      </c>
    </row>
    <row r="1525" spans="1:2" x14ac:dyDescent="0.3">
      <c r="A1525" s="38">
        <f>Lookup!A1525</f>
        <v>0</v>
      </c>
      <c r="B1525" s="39">
        <f>SUMIFS(ItemInvoiceTracker!C:C,ItemInvoiceTracker!E:E,Data!A1525)</f>
        <v>0</v>
      </c>
    </row>
    <row r="1526" spans="1:2" x14ac:dyDescent="0.3">
      <c r="A1526" s="38">
        <f>Lookup!A1526</f>
        <v>0</v>
      </c>
      <c r="B1526" s="39">
        <f>SUMIFS(ItemInvoiceTracker!C:C,ItemInvoiceTracker!E:E,Data!A1526)</f>
        <v>0</v>
      </c>
    </row>
    <row r="1527" spans="1:2" x14ac:dyDescent="0.3">
      <c r="A1527" s="38">
        <f>Lookup!A1527</f>
        <v>0</v>
      </c>
      <c r="B1527" s="39">
        <f>SUMIFS(ItemInvoiceTracker!C:C,ItemInvoiceTracker!E:E,Data!A1527)</f>
        <v>0</v>
      </c>
    </row>
    <row r="1528" spans="1:2" x14ac:dyDescent="0.3">
      <c r="A1528" s="38">
        <f>Lookup!A1528</f>
        <v>0</v>
      </c>
      <c r="B1528" s="39">
        <f>SUMIFS(ItemInvoiceTracker!C:C,ItemInvoiceTracker!E:E,Data!A1528)</f>
        <v>0</v>
      </c>
    </row>
    <row r="1529" spans="1:2" x14ac:dyDescent="0.3">
      <c r="A1529" s="38">
        <f>Lookup!A1529</f>
        <v>0</v>
      </c>
      <c r="B1529" s="39">
        <f>SUMIFS(ItemInvoiceTracker!C:C,ItemInvoiceTracker!E:E,Data!A1529)</f>
        <v>0</v>
      </c>
    </row>
    <row r="1530" spans="1:2" x14ac:dyDescent="0.3">
      <c r="A1530" s="38">
        <f>Lookup!A1530</f>
        <v>0</v>
      </c>
      <c r="B1530" s="39">
        <f>SUMIFS(ItemInvoiceTracker!C:C,ItemInvoiceTracker!E:E,Data!A1530)</f>
        <v>0</v>
      </c>
    </row>
    <row r="1531" spans="1:2" x14ac:dyDescent="0.3">
      <c r="A1531" s="38">
        <f>Lookup!A1531</f>
        <v>0</v>
      </c>
      <c r="B1531" s="39">
        <f>SUMIFS(ItemInvoiceTracker!C:C,ItemInvoiceTracker!E:E,Data!A1531)</f>
        <v>0</v>
      </c>
    </row>
    <row r="1532" spans="1:2" x14ac:dyDescent="0.3">
      <c r="A1532" s="38">
        <f>Lookup!A1532</f>
        <v>0</v>
      </c>
      <c r="B1532" s="39">
        <f>SUMIFS(ItemInvoiceTracker!C:C,ItemInvoiceTracker!E:E,Data!A1532)</f>
        <v>0</v>
      </c>
    </row>
    <row r="1533" spans="1:2" x14ac:dyDescent="0.3">
      <c r="A1533" s="38">
        <f>Lookup!A1533</f>
        <v>0</v>
      </c>
      <c r="B1533" s="39">
        <f>SUMIFS(ItemInvoiceTracker!C:C,ItemInvoiceTracker!E:E,Data!A1533)</f>
        <v>0</v>
      </c>
    </row>
    <row r="1534" spans="1:2" x14ac:dyDescent="0.3">
      <c r="A1534" s="38">
        <f>Lookup!A1534</f>
        <v>0</v>
      </c>
      <c r="B1534" s="39">
        <f>SUMIFS(ItemInvoiceTracker!C:C,ItemInvoiceTracker!E:E,Data!A1534)</f>
        <v>0</v>
      </c>
    </row>
    <row r="1535" spans="1:2" x14ac:dyDescent="0.3">
      <c r="A1535" s="38">
        <f>Lookup!A1535</f>
        <v>0</v>
      </c>
      <c r="B1535" s="39">
        <f>SUMIFS(ItemInvoiceTracker!C:C,ItemInvoiceTracker!E:E,Data!A1535)</f>
        <v>0</v>
      </c>
    </row>
    <row r="1536" spans="1:2" x14ac:dyDescent="0.3">
      <c r="A1536" s="38">
        <f>Lookup!A1536</f>
        <v>0</v>
      </c>
      <c r="B1536" s="39">
        <f>SUMIFS(ItemInvoiceTracker!C:C,ItemInvoiceTracker!E:E,Data!A1536)</f>
        <v>0</v>
      </c>
    </row>
    <row r="1537" spans="1:2" x14ac:dyDescent="0.3">
      <c r="A1537" s="38">
        <f>Lookup!A1537</f>
        <v>0</v>
      </c>
      <c r="B1537" s="39">
        <f>SUMIFS(ItemInvoiceTracker!C:C,ItemInvoiceTracker!E:E,Data!A1537)</f>
        <v>0</v>
      </c>
    </row>
    <row r="1538" spans="1:2" x14ac:dyDescent="0.3">
      <c r="A1538" s="38">
        <f>Lookup!A1538</f>
        <v>0</v>
      </c>
      <c r="B1538" s="39">
        <f>SUMIFS(ItemInvoiceTracker!C:C,ItemInvoiceTracker!E:E,Data!A1538)</f>
        <v>0</v>
      </c>
    </row>
    <row r="1539" spans="1:2" x14ac:dyDescent="0.3">
      <c r="A1539" s="38">
        <f>Lookup!A1539</f>
        <v>0</v>
      </c>
      <c r="B1539" s="39">
        <f>SUMIFS(ItemInvoiceTracker!C:C,ItemInvoiceTracker!E:E,Data!A1539)</f>
        <v>0</v>
      </c>
    </row>
    <row r="1540" spans="1:2" x14ac:dyDescent="0.3">
      <c r="A1540" s="38">
        <f>Lookup!A1540</f>
        <v>0</v>
      </c>
      <c r="B1540" s="39">
        <f>SUMIFS(ItemInvoiceTracker!C:C,ItemInvoiceTracker!E:E,Data!A1540)</f>
        <v>0</v>
      </c>
    </row>
    <row r="1541" spans="1:2" x14ac:dyDescent="0.3">
      <c r="A1541" s="38">
        <f>Lookup!A1541</f>
        <v>0</v>
      </c>
      <c r="B1541" s="39">
        <f>SUMIFS(ItemInvoiceTracker!C:C,ItemInvoiceTracker!E:E,Data!A1541)</f>
        <v>0</v>
      </c>
    </row>
    <row r="1542" spans="1:2" x14ac:dyDescent="0.3">
      <c r="A1542" s="38">
        <f>Lookup!A1542</f>
        <v>0</v>
      </c>
      <c r="B1542" s="39">
        <f>SUMIFS(ItemInvoiceTracker!C:C,ItemInvoiceTracker!E:E,Data!A1542)</f>
        <v>0</v>
      </c>
    </row>
    <row r="1543" spans="1:2" x14ac:dyDescent="0.3">
      <c r="A1543" s="38">
        <f>Lookup!A1543</f>
        <v>0</v>
      </c>
      <c r="B1543" s="39">
        <f>SUMIFS(ItemInvoiceTracker!C:C,ItemInvoiceTracker!E:E,Data!A1543)</f>
        <v>0</v>
      </c>
    </row>
    <row r="1544" spans="1:2" x14ac:dyDescent="0.3">
      <c r="A1544" s="38">
        <f>Lookup!A1544</f>
        <v>0</v>
      </c>
      <c r="B1544" s="39">
        <f>SUMIFS(ItemInvoiceTracker!C:C,ItemInvoiceTracker!E:E,Data!A1544)</f>
        <v>0</v>
      </c>
    </row>
    <row r="1545" spans="1:2" x14ac:dyDescent="0.3">
      <c r="A1545" s="38">
        <f>Lookup!A1545</f>
        <v>0</v>
      </c>
      <c r="B1545" s="39">
        <f>SUMIFS(ItemInvoiceTracker!C:C,ItemInvoiceTracker!E:E,Data!A1545)</f>
        <v>0</v>
      </c>
    </row>
    <row r="1546" spans="1:2" x14ac:dyDescent="0.3">
      <c r="A1546" s="38">
        <f>Lookup!A1546</f>
        <v>0</v>
      </c>
      <c r="B1546" s="39">
        <f>SUMIFS(ItemInvoiceTracker!C:C,ItemInvoiceTracker!E:E,Data!A1546)</f>
        <v>0</v>
      </c>
    </row>
    <row r="1547" spans="1:2" x14ac:dyDescent="0.3">
      <c r="A1547" s="38">
        <f>Lookup!A1547</f>
        <v>0</v>
      </c>
      <c r="B1547" s="39">
        <f>SUMIFS(ItemInvoiceTracker!C:C,ItemInvoiceTracker!E:E,Data!A1547)</f>
        <v>0</v>
      </c>
    </row>
    <row r="1548" spans="1:2" x14ac:dyDescent="0.3">
      <c r="A1548" s="38">
        <f>Lookup!A1548</f>
        <v>0</v>
      </c>
      <c r="B1548" s="39">
        <f>SUMIFS(ItemInvoiceTracker!C:C,ItemInvoiceTracker!E:E,Data!A1548)</f>
        <v>0</v>
      </c>
    </row>
    <row r="1549" spans="1:2" x14ac:dyDescent="0.3">
      <c r="A1549" s="38">
        <f>Lookup!A1549</f>
        <v>0</v>
      </c>
      <c r="B1549" s="39">
        <f>SUMIFS(ItemInvoiceTracker!C:C,ItemInvoiceTracker!E:E,Data!A1549)</f>
        <v>0</v>
      </c>
    </row>
    <row r="1550" spans="1:2" x14ac:dyDescent="0.3">
      <c r="A1550" s="38">
        <f>Lookup!A1550</f>
        <v>0</v>
      </c>
      <c r="B1550" s="39">
        <f>SUMIFS(ItemInvoiceTracker!C:C,ItemInvoiceTracker!E:E,Data!A1550)</f>
        <v>0</v>
      </c>
    </row>
    <row r="1551" spans="1:2" x14ac:dyDescent="0.3">
      <c r="A1551" s="38">
        <f>Lookup!A1551</f>
        <v>0</v>
      </c>
      <c r="B1551" s="39">
        <f>SUMIFS(ItemInvoiceTracker!C:C,ItemInvoiceTracker!E:E,Data!A1551)</f>
        <v>0</v>
      </c>
    </row>
    <row r="1552" spans="1:2" x14ac:dyDescent="0.3">
      <c r="A1552" s="38">
        <f>Lookup!A1552</f>
        <v>0</v>
      </c>
      <c r="B1552" s="39">
        <f>SUMIFS(ItemInvoiceTracker!C:C,ItemInvoiceTracker!E:E,Data!A1552)</f>
        <v>0</v>
      </c>
    </row>
    <row r="1553" spans="1:2" x14ac:dyDescent="0.3">
      <c r="A1553" s="38">
        <f>Lookup!A1553</f>
        <v>0</v>
      </c>
      <c r="B1553" s="39">
        <f>SUMIFS(ItemInvoiceTracker!C:C,ItemInvoiceTracker!E:E,Data!A1553)</f>
        <v>0</v>
      </c>
    </row>
    <row r="1554" spans="1:2" x14ac:dyDescent="0.3">
      <c r="A1554" s="38">
        <f>Lookup!A1554</f>
        <v>0</v>
      </c>
      <c r="B1554" s="39">
        <f>SUMIFS(ItemInvoiceTracker!C:C,ItemInvoiceTracker!E:E,Data!A1554)</f>
        <v>0</v>
      </c>
    </row>
    <row r="1555" spans="1:2" x14ac:dyDescent="0.3">
      <c r="A1555" s="38">
        <f>Lookup!A1555</f>
        <v>0</v>
      </c>
      <c r="B1555" s="39">
        <f>SUMIFS(ItemInvoiceTracker!C:C,ItemInvoiceTracker!E:E,Data!A1555)</f>
        <v>0</v>
      </c>
    </row>
    <row r="1556" spans="1:2" x14ac:dyDescent="0.3">
      <c r="A1556" s="38">
        <f>Lookup!A1556</f>
        <v>0</v>
      </c>
      <c r="B1556" s="39">
        <f>SUMIFS(ItemInvoiceTracker!C:C,ItemInvoiceTracker!E:E,Data!A1556)</f>
        <v>0</v>
      </c>
    </row>
    <row r="1557" spans="1:2" x14ac:dyDescent="0.3">
      <c r="A1557" s="38">
        <f>Lookup!A1557</f>
        <v>0</v>
      </c>
      <c r="B1557" s="39">
        <f>SUMIFS(ItemInvoiceTracker!C:C,ItemInvoiceTracker!E:E,Data!A1557)</f>
        <v>0</v>
      </c>
    </row>
    <row r="1558" spans="1:2" x14ac:dyDescent="0.3">
      <c r="A1558" s="38">
        <f>Lookup!A1558</f>
        <v>0</v>
      </c>
      <c r="B1558" s="39">
        <f>SUMIFS(ItemInvoiceTracker!C:C,ItemInvoiceTracker!E:E,Data!A1558)</f>
        <v>0</v>
      </c>
    </row>
    <row r="1559" spans="1:2" x14ac:dyDescent="0.3">
      <c r="A1559" s="38">
        <f>Lookup!A1559</f>
        <v>0</v>
      </c>
      <c r="B1559" s="39">
        <f>SUMIFS(ItemInvoiceTracker!C:C,ItemInvoiceTracker!E:E,Data!A1559)</f>
        <v>0</v>
      </c>
    </row>
    <row r="1560" spans="1:2" x14ac:dyDescent="0.3">
      <c r="A1560" s="38">
        <f>Lookup!A1560</f>
        <v>0</v>
      </c>
      <c r="B1560" s="39">
        <f>SUMIFS(ItemInvoiceTracker!C:C,ItemInvoiceTracker!E:E,Data!A1560)</f>
        <v>0</v>
      </c>
    </row>
    <row r="1561" spans="1:2" x14ac:dyDescent="0.3">
      <c r="A1561" s="38">
        <f>Lookup!A1561</f>
        <v>0</v>
      </c>
      <c r="B1561" s="39">
        <f>SUMIFS(ItemInvoiceTracker!C:C,ItemInvoiceTracker!E:E,Data!A1561)</f>
        <v>0</v>
      </c>
    </row>
    <row r="1562" spans="1:2" x14ac:dyDescent="0.3">
      <c r="A1562" s="38">
        <f>Lookup!A1562</f>
        <v>0</v>
      </c>
      <c r="B1562" s="39">
        <f>SUMIFS(ItemInvoiceTracker!C:C,ItemInvoiceTracker!E:E,Data!A1562)</f>
        <v>0</v>
      </c>
    </row>
    <row r="1563" spans="1:2" x14ac:dyDescent="0.3">
      <c r="A1563" s="38">
        <f>Lookup!A1563</f>
        <v>0</v>
      </c>
      <c r="B1563" s="39">
        <f>SUMIFS(ItemInvoiceTracker!C:C,ItemInvoiceTracker!E:E,Data!A1563)</f>
        <v>0</v>
      </c>
    </row>
    <row r="1564" spans="1:2" x14ac:dyDescent="0.3">
      <c r="A1564" s="38">
        <f>Lookup!A1564</f>
        <v>0</v>
      </c>
      <c r="B1564" s="39">
        <f>SUMIFS(ItemInvoiceTracker!C:C,ItemInvoiceTracker!E:E,Data!A1564)</f>
        <v>0</v>
      </c>
    </row>
    <row r="1565" spans="1:2" x14ac:dyDescent="0.3">
      <c r="A1565" s="38">
        <f>Lookup!A1565</f>
        <v>0</v>
      </c>
      <c r="B1565" s="39">
        <f>SUMIFS(ItemInvoiceTracker!C:C,ItemInvoiceTracker!E:E,Data!A1565)</f>
        <v>0</v>
      </c>
    </row>
    <row r="1566" spans="1:2" x14ac:dyDescent="0.3">
      <c r="A1566" s="38">
        <f>Lookup!A1566</f>
        <v>0</v>
      </c>
      <c r="B1566" s="39">
        <f>SUMIFS(ItemInvoiceTracker!C:C,ItemInvoiceTracker!E:E,Data!A1566)</f>
        <v>0</v>
      </c>
    </row>
    <row r="1567" spans="1:2" x14ac:dyDescent="0.3">
      <c r="A1567" s="38">
        <f>Lookup!A1567</f>
        <v>0</v>
      </c>
      <c r="B1567" s="39">
        <f>SUMIFS(ItemInvoiceTracker!C:C,ItemInvoiceTracker!E:E,Data!A1567)</f>
        <v>0</v>
      </c>
    </row>
    <row r="1568" spans="1:2" x14ac:dyDescent="0.3">
      <c r="A1568" s="38">
        <f>Lookup!A1568</f>
        <v>0</v>
      </c>
      <c r="B1568" s="39">
        <f>SUMIFS(ItemInvoiceTracker!C:C,ItemInvoiceTracker!E:E,Data!A1568)</f>
        <v>0</v>
      </c>
    </row>
    <row r="1569" spans="1:2" x14ac:dyDescent="0.3">
      <c r="A1569" s="38">
        <f>Lookup!A1569</f>
        <v>0</v>
      </c>
      <c r="B1569" s="39">
        <f>SUMIFS(ItemInvoiceTracker!C:C,ItemInvoiceTracker!E:E,Data!A1569)</f>
        <v>0</v>
      </c>
    </row>
    <row r="1570" spans="1:2" x14ac:dyDescent="0.3">
      <c r="A1570" s="38">
        <f>Lookup!A1570</f>
        <v>0</v>
      </c>
      <c r="B1570" s="39">
        <f>SUMIFS(ItemInvoiceTracker!C:C,ItemInvoiceTracker!E:E,Data!A1570)</f>
        <v>0</v>
      </c>
    </row>
    <row r="1571" spans="1:2" x14ac:dyDescent="0.3">
      <c r="A1571" s="38">
        <f>Lookup!A1571</f>
        <v>0</v>
      </c>
      <c r="B1571" s="39">
        <f>SUMIFS(ItemInvoiceTracker!C:C,ItemInvoiceTracker!E:E,Data!A1571)</f>
        <v>0</v>
      </c>
    </row>
    <row r="1572" spans="1:2" x14ac:dyDescent="0.3">
      <c r="A1572" s="38">
        <f>Lookup!A1572</f>
        <v>0</v>
      </c>
      <c r="B1572" s="39">
        <f>SUMIFS(ItemInvoiceTracker!C:C,ItemInvoiceTracker!E:E,Data!A1572)</f>
        <v>0</v>
      </c>
    </row>
    <row r="1573" spans="1:2" x14ac:dyDescent="0.3">
      <c r="A1573" s="38">
        <f>Lookup!A1573</f>
        <v>0</v>
      </c>
      <c r="B1573" s="39">
        <f>SUMIFS(ItemInvoiceTracker!C:C,ItemInvoiceTracker!E:E,Data!A1573)</f>
        <v>0</v>
      </c>
    </row>
    <row r="1574" spans="1:2" x14ac:dyDescent="0.3">
      <c r="A1574" s="38">
        <f>Lookup!A1574</f>
        <v>0</v>
      </c>
      <c r="B1574" s="39">
        <f>SUMIFS(ItemInvoiceTracker!C:C,ItemInvoiceTracker!E:E,Data!A1574)</f>
        <v>0</v>
      </c>
    </row>
    <row r="1575" spans="1:2" x14ac:dyDescent="0.3">
      <c r="A1575" s="38">
        <f>Lookup!A1575</f>
        <v>0</v>
      </c>
      <c r="B1575" s="39">
        <f>SUMIFS(ItemInvoiceTracker!C:C,ItemInvoiceTracker!E:E,Data!A1575)</f>
        <v>0</v>
      </c>
    </row>
    <row r="1576" spans="1:2" x14ac:dyDescent="0.3">
      <c r="A1576" s="38">
        <f>Lookup!A1576</f>
        <v>0</v>
      </c>
      <c r="B1576" s="39">
        <f>SUMIFS(ItemInvoiceTracker!C:C,ItemInvoiceTracker!E:E,Data!A1576)</f>
        <v>0</v>
      </c>
    </row>
    <row r="1577" spans="1:2" x14ac:dyDescent="0.3">
      <c r="A1577" s="38">
        <f>Lookup!A1577</f>
        <v>0</v>
      </c>
      <c r="B1577" s="39">
        <f>SUMIFS(ItemInvoiceTracker!C:C,ItemInvoiceTracker!E:E,Data!A1577)</f>
        <v>0</v>
      </c>
    </row>
    <row r="1578" spans="1:2" x14ac:dyDescent="0.3">
      <c r="A1578" s="38">
        <f>Lookup!A1578</f>
        <v>0</v>
      </c>
      <c r="B1578" s="39">
        <f>SUMIFS(ItemInvoiceTracker!C:C,ItemInvoiceTracker!E:E,Data!A1578)</f>
        <v>0</v>
      </c>
    </row>
    <row r="1579" spans="1:2" x14ac:dyDescent="0.3">
      <c r="A1579" s="38">
        <f>Lookup!A1579</f>
        <v>0</v>
      </c>
      <c r="B1579" s="39">
        <f>SUMIFS(ItemInvoiceTracker!C:C,ItemInvoiceTracker!E:E,Data!A1579)</f>
        <v>0</v>
      </c>
    </row>
    <row r="1580" spans="1:2" x14ac:dyDescent="0.3">
      <c r="A1580" s="38">
        <f>Lookup!A1580</f>
        <v>0</v>
      </c>
      <c r="B1580" s="39">
        <f>SUMIFS(ItemInvoiceTracker!C:C,ItemInvoiceTracker!E:E,Data!A1580)</f>
        <v>0</v>
      </c>
    </row>
    <row r="1581" spans="1:2" x14ac:dyDescent="0.3">
      <c r="A1581" s="38">
        <f>Lookup!A1581</f>
        <v>0</v>
      </c>
      <c r="B1581" s="39">
        <f>SUMIFS(ItemInvoiceTracker!C:C,ItemInvoiceTracker!E:E,Data!A1581)</f>
        <v>0</v>
      </c>
    </row>
    <row r="1582" spans="1:2" x14ac:dyDescent="0.3">
      <c r="A1582" s="38">
        <f>Lookup!A1582</f>
        <v>0</v>
      </c>
      <c r="B1582" s="39">
        <f>SUMIFS(ItemInvoiceTracker!C:C,ItemInvoiceTracker!E:E,Data!A1582)</f>
        <v>0</v>
      </c>
    </row>
    <row r="1583" spans="1:2" x14ac:dyDescent="0.3">
      <c r="A1583" s="38">
        <f>Lookup!A1583</f>
        <v>0</v>
      </c>
      <c r="B1583" s="39">
        <f>SUMIFS(ItemInvoiceTracker!C:C,ItemInvoiceTracker!E:E,Data!A1583)</f>
        <v>0</v>
      </c>
    </row>
    <row r="1584" spans="1:2" x14ac:dyDescent="0.3">
      <c r="A1584" s="38">
        <f>Lookup!A1584</f>
        <v>0</v>
      </c>
      <c r="B1584" s="39">
        <f>SUMIFS(ItemInvoiceTracker!C:C,ItemInvoiceTracker!E:E,Data!A1584)</f>
        <v>0</v>
      </c>
    </row>
    <row r="1585" spans="1:2" x14ac:dyDescent="0.3">
      <c r="A1585" s="38">
        <f>Lookup!A1585</f>
        <v>0</v>
      </c>
      <c r="B1585" s="39">
        <f>SUMIFS(ItemInvoiceTracker!C:C,ItemInvoiceTracker!E:E,Data!A1585)</f>
        <v>0</v>
      </c>
    </row>
    <row r="1586" spans="1:2" x14ac:dyDescent="0.3">
      <c r="A1586" s="38">
        <f>Lookup!A1586</f>
        <v>0</v>
      </c>
      <c r="B1586" s="39">
        <f>SUMIFS(ItemInvoiceTracker!C:C,ItemInvoiceTracker!E:E,Data!A1586)</f>
        <v>0</v>
      </c>
    </row>
    <row r="1587" spans="1:2" x14ac:dyDescent="0.3">
      <c r="A1587" s="38">
        <f>Lookup!A1587</f>
        <v>0</v>
      </c>
      <c r="B1587" s="39">
        <f>SUMIFS(ItemInvoiceTracker!C:C,ItemInvoiceTracker!E:E,Data!A1587)</f>
        <v>0</v>
      </c>
    </row>
    <row r="1588" spans="1:2" x14ac:dyDescent="0.3">
      <c r="A1588" s="38">
        <f>Lookup!A1588</f>
        <v>0</v>
      </c>
      <c r="B1588" s="39">
        <f>SUMIFS(ItemInvoiceTracker!C:C,ItemInvoiceTracker!E:E,Data!A1588)</f>
        <v>0</v>
      </c>
    </row>
    <row r="1589" spans="1:2" x14ac:dyDescent="0.3">
      <c r="A1589" s="38">
        <f>Lookup!A1589</f>
        <v>0</v>
      </c>
      <c r="B1589" s="39">
        <f>SUMIFS(ItemInvoiceTracker!C:C,ItemInvoiceTracker!E:E,Data!A1589)</f>
        <v>0</v>
      </c>
    </row>
    <row r="1590" spans="1:2" x14ac:dyDescent="0.3">
      <c r="A1590" s="38">
        <f>Lookup!A1590</f>
        <v>0</v>
      </c>
      <c r="B1590" s="39">
        <f>SUMIFS(ItemInvoiceTracker!C:C,ItemInvoiceTracker!E:E,Data!A1590)</f>
        <v>0</v>
      </c>
    </row>
    <row r="1591" spans="1:2" x14ac:dyDescent="0.3">
      <c r="A1591" s="38">
        <f>Lookup!A1591</f>
        <v>0</v>
      </c>
      <c r="B1591" s="39">
        <f>SUMIFS(ItemInvoiceTracker!C:C,ItemInvoiceTracker!E:E,Data!A1591)</f>
        <v>0</v>
      </c>
    </row>
    <row r="1592" spans="1:2" x14ac:dyDescent="0.3">
      <c r="A1592" s="38">
        <f>Lookup!A1592</f>
        <v>0</v>
      </c>
      <c r="B1592" s="39">
        <f>SUMIFS(ItemInvoiceTracker!C:C,ItemInvoiceTracker!E:E,Data!A1592)</f>
        <v>0</v>
      </c>
    </row>
    <row r="1593" spans="1:2" x14ac:dyDescent="0.3">
      <c r="A1593" s="38">
        <f>Lookup!A1593</f>
        <v>0</v>
      </c>
      <c r="B1593" s="39">
        <f>SUMIFS(ItemInvoiceTracker!C:C,ItemInvoiceTracker!E:E,Data!A1593)</f>
        <v>0</v>
      </c>
    </row>
    <row r="1594" spans="1:2" x14ac:dyDescent="0.3">
      <c r="A1594" s="38">
        <f>Lookup!A1594</f>
        <v>0</v>
      </c>
      <c r="B1594" s="39">
        <f>SUMIFS(ItemInvoiceTracker!C:C,ItemInvoiceTracker!E:E,Data!A1594)</f>
        <v>0</v>
      </c>
    </row>
    <row r="1595" spans="1:2" x14ac:dyDescent="0.3">
      <c r="A1595" s="38">
        <f>Lookup!A1595</f>
        <v>0</v>
      </c>
      <c r="B1595" s="39">
        <f>SUMIFS(ItemInvoiceTracker!C:C,ItemInvoiceTracker!E:E,Data!A1595)</f>
        <v>0</v>
      </c>
    </row>
    <row r="1596" spans="1:2" x14ac:dyDescent="0.3">
      <c r="A1596" s="38">
        <f>Lookup!A1596</f>
        <v>0</v>
      </c>
      <c r="B1596" s="39">
        <f>SUMIFS(ItemInvoiceTracker!C:C,ItemInvoiceTracker!E:E,Data!A1596)</f>
        <v>0</v>
      </c>
    </row>
    <row r="1597" spans="1:2" x14ac:dyDescent="0.3">
      <c r="A1597" s="38">
        <f>Lookup!A1597</f>
        <v>0</v>
      </c>
      <c r="B1597" s="39">
        <f>SUMIFS(ItemInvoiceTracker!C:C,ItemInvoiceTracker!E:E,Data!A1597)</f>
        <v>0</v>
      </c>
    </row>
    <row r="1598" spans="1:2" x14ac:dyDescent="0.3">
      <c r="A1598" s="38">
        <f>Lookup!A1598</f>
        <v>0</v>
      </c>
      <c r="B1598" s="39">
        <f>SUMIFS(ItemInvoiceTracker!C:C,ItemInvoiceTracker!E:E,Data!A1598)</f>
        <v>0</v>
      </c>
    </row>
    <row r="1599" spans="1:2" x14ac:dyDescent="0.3">
      <c r="A1599" s="38">
        <f>Lookup!A1599</f>
        <v>0</v>
      </c>
      <c r="B1599" s="39">
        <f>SUMIFS(ItemInvoiceTracker!C:C,ItemInvoiceTracker!E:E,Data!A1599)</f>
        <v>0</v>
      </c>
    </row>
    <row r="1600" spans="1:2" x14ac:dyDescent="0.3">
      <c r="A1600" s="38">
        <f>Lookup!A1600</f>
        <v>0</v>
      </c>
      <c r="B1600" s="39">
        <f>SUMIFS(ItemInvoiceTracker!C:C,ItemInvoiceTracker!E:E,Data!A1600)</f>
        <v>0</v>
      </c>
    </row>
    <row r="1601" spans="1:2" x14ac:dyDescent="0.3">
      <c r="A1601" s="38">
        <f>Lookup!A1601</f>
        <v>0</v>
      </c>
      <c r="B1601" s="39">
        <f>SUMIFS(ItemInvoiceTracker!C:C,ItemInvoiceTracker!E:E,Data!A1601)</f>
        <v>0</v>
      </c>
    </row>
    <row r="1602" spans="1:2" x14ac:dyDescent="0.3">
      <c r="A1602" s="38">
        <f>Lookup!A1602</f>
        <v>0</v>
      </c>
      <c r="B1602" s="39">
        <f>SUMIFS(ItemInvoiceTracker!C:C,ItemInvoiceTracker!E:E,Data!A1602)</f>
        <v>0</v>
      </c>
    </row>
    <row r="1603" spans="1:2" x14ac:dyDescent="0.3">
      <c r="A1603" s="38">
        <f>Lookup!A1603</f>
        <v>0</v>
      </c>
      <c r="B1603" s="39">
        <f>SUMIFS(ItemInvoiceTracker!C:C,ItemInvoiceTracker!E:E,Data!A1603)</f>
        <v>0</v>
      </c>
    </row>
    <row r="1604" spans="1:2" x14ac:dyDescent="0.3">
      <c r="A1604" s="38">
        <f>Lookup!A1604</f>
        <v>0</v>
      </c>
      <c r="B1604" s="39">
        <f>SUMIFS(ItemInvoiceTracker!C:C,ItemInvoiceTracker!E:E,Data!A1604)</f>
        <v>0</v>
      </c>
    </row>
    <row r="1605" spans="1:2" x14ac:dyDescent="0.3">
      <c r="A1605" s="38">
        <f>Lookup!A1605</f>
        <v>0</v>
      </c>
      <c r="B1605" s="39">
        <f>SUMIFS(ItemInvoiceTracker!C:C,ItemInvoiceTracker!E:E,Data!A1605)</f>
        <v>0</v>
      </c>
    </row>
    <row r="1606" spans="1:2" x14ac:dyDescent="0.3">
      <c r="A1606" s="38">
        <f>Lookup!A1606</f>
        <v>0</v>
      </c>
      <c r="B1606" s="39">
        <f>SUMIFS(ItemInvoiceTracker!C:C,ItemInvoiceTracker!E:E,Data!A1606)</f>
        <v>0</v>
      </c>
    </row>
    <row r="1607" spans="1:2" x14ac:dyDescent="0.3">
      <c r="A1607" s="38">
        <f>Lookup!A1607</f>
        <v>0</v>
      </c>
      <c r="B1607" s="39">
        <f>SUMIFS(ItemInvoiceTracker!C:C,ItemInvoiceTracker!E:E,Data!A1607)</f>
        <v>0</v>
      </c>
    </row>
    <row r="1608" spans="1:2" x14ac:dyDescent="0.3">
      <c r="A1608" s="38">
        <f>Lookup!A1608</f>
        <v>0</v>
      </c>
      <c r="B1608" s="39">
        <f>SUMIFS(ItemInvoiceTracker!C:C,ItemInvoiceTracker!E:E,Data!A1608)</f>
        <v>0</v>
      </c>
    </row>
    <row r="1609" spans="1:2" x14ac:dyDescent="0.3">
      <c r="A1609" s="38">
        <f>Lookup!A1609</f>
        <v>0</v>
      </c>
      <c r="B1609" s="39">
        <f>SUMIFS(ItemInvoiceTracker!C:C,ItemInvoiceTracker!E:E,Data!A1609)</f>
        <v>0</v>
      </c>
    </row>
    <row r="1610" spans="1:2" x14ac:dyDescent="0.3">
      <c r="A1610" s="38">
        <f>Lookup!A1610</f>
        <v>0</v>
      </c>
      <c r="B1610" s="39">
        <f>SUMIFS(ItemInvoiceTracker!C:C,ItemInvoiceTracker!E:E,Data!A1610)</f>
        <v>0</v>
      </c>
    </row>
    <row r="1611" spans="1:2" x14ac:dyDescent="0.3">
      <c r="A1611" s="38">
        <f>Lookup!A1611</f>
        <v>0</v>
      </c>
      <c r="B1611" s="39">
        <f>SUMIFS(ItemInvoiceTracker!C:C,ItemInvoiceTracker!E:E,Data!A1611)</f>
        <v>0</v>
      </c>
    </row>
    <row r="1612" spans="1:2" x14ac:dyDescent="0.3">
      <c r="A1612" s="38">
        <f>Lookup!A1612</f>
        <v>0</v>
      </c>
      <c r="B1612" s="39">
        <f>SUMIFS(ItemInvoiceTracker!C:C,ItemInvoiceTracker!E:E,Data!A1612)</f>
        <v>0</v>
      </c>
    </row>
    <row r="1613" spans="1:2" x14ac:dyDescent="0.3">
      <c r="A1613" s="38">
        <f>Lookup!A1613</f>
        <v>0</v>
      </c>
      <c r="B1613" s="39">
        <f>SUMIFS(ItemInvoiceTracker!C:C,ItemInvoiceTracker!E:E,Data!A1613)</f>
        <v>0</v>
      </c>
    </row>
    <row r="1614" spans="1:2" x14ac:dyDescent="0.3">
      <c r="A1614" s="38">
        <f>Lookup!A1614</f>
        <v>0</v>
      </c>
      <c r="B1614" s="39">
        <f>SUMIFS(ItemInvoiceTracker!C:C,ItemInvoiceTracker!E:E,Data!A1614)</f>
        <v>0</v>
      </c>
    </row>
    <row r="1615" spans="1:2" x14ac:dyDescent="0.3">
      <c r="A1615" s="38">
        <f>Lookup!A1615</f>
        <v>0</v>
      </c>
      <c r="B1615" s="39">
        <f>SUMIFS(ItemInvoiceTracker!C:C,ItemInvoiceTracker!E:E,Data!A1615)</f>
        <v>0</v>
      </c>
    </row>
    <row r="1616" spans="1:2" x14ac:dyDescent="0.3">
      <c r="A1616" s="38">
        <f>Lookup!A1616</f>
        <v>0</v>
      </c>
      <c r="B1616" s="39">
        <f>SUMIFS(ItemInvoiceTracker!C:C,ItemInvoiceTracker!E:E,Data!A1616)</f>
        <v>0</v>
      </c>
    </row>
    <row r="1617" spans="1:2" x14ac:dyDescent="0.3">
      <c r="A1617" s="38">
        <f>Lookup!A1617</f>
        <v>0</v>
      </c>
      <c r="B1617" s="39">
        <f>SUMIFS(ItemInvoiceTracker!C:C,ItemInvoiceTracker!E:E,Data!A1617)</f>
        <v>0</v>
      </c>
    </row>
    <row r="1618" spans="1:2" x14ac:dyDescent="0.3">
      <c r="A1618" s="38">
        <f>Lookup!A1618</f>
        <v>0</v>
      </c>
      <c r="B1618" s="39">
        <f>SUMIFS(ItemInvoiceTracker!C:C,ItemInvoiceTracker!E:E,Data!A1618)</f>
        <v>0</v>
      </c>
    </row>
    <row r="1619" spans="1:2" x14ac:dyDescent="0.3">
      <c r="A1619" s="38">
        <f>Lookup!A1619</f>
        <v>0</v>
      </c>
      <c r="B1619" s="39">
        <f>SUMIFS(ItemInvoiceTracker!C:C,ItemInvoiceTracker!E:E,Data!A1619)</f>
        <v>0</v>
      </c>
    </row>
    <row r="1620" spans="1:2" x14ac:dyDescent="0.3">
      <c r="A1620" s="38">
        <f>Lookup!A1620</f>
        <v>0</v>
      </c>
      <c r="B1620" s="39">
        <f>SUMIFS(ItemInvoiceTracker!C:C,ItemInvoiceTracker!E:E,Data!A1620)</f>
        <v>0</v>
      </c>
    </row>
    <row r="1621" spans="1:2" x14ac:dyDescent="0.3">
      <c r="A1621" s="38">
        <f>Lookup!A1621</f>
        <v>0</v>
      </c>
      <c r="B1621" s="39">
        <f>SUMIFS(ItemInvoiceTracker!C:C,ItemInvoiceTracker!E:E,Data!A1621)</f>
        <v>0</v>
      </c>
    </row>
    <row r="1622" spans="1:2" x14ac:dyDescent="0.3">
      <c r="A1622" s="38">
        <f>Lookup!A1622</f>
        <v>0</v>
      </c>
      <c r="B1622" s="39">
        <f>SUMIFS(ItemInvoiceTracker!C:C,ItemInvoiceTracker!E:E,Data!A1622)</f>
        <v>0</v>
      </c>
    </row>
    <row r="1623" spans="1:2" x14ac:dyDescent="0.3">
      <c r="A1623" s="38">
        <f>Lookup!A1623</f>
        <v>0</v>
      </c>
      <c r="B1623" s="39">
        <f>SUMIFS(ItemInvoiceTracker!C:C,ItemInvoiceTracker!E:E,Data!A1623)</f>
        <v>0</v>
      </c>
    </row>
    <row r="1624" spans="1:2" x14ac:dyDescent="0.3">
      <c r="A1624" s="38">
        <f>Lookup!A1624</f>
        <v>0</v>
      </c>
      <c r="B1624" s="39">
        <f>SUMIFS(ItemInvoiceTracker!C:C,ItemInvoiceTracker!E:E,Data!A1624)</f>
        <v>0</v>
      </c>
    </row>
    <row r="1625" spans="1:2" x14ac:dyDescent="0.3">
      <c r="A1625" s="38">
        <f>Lookup!A1625</f>
        <v>0</v>
      </c>
      <c r="B1625" s="39">
        <f>SUMIFS(ItemInvoiceTracker!C:C,ItemInvoiceTracker!E:E,Data!A1625)</f>
        <v>0</v>
      </c>
    </row>
    <row r="1626" spans="1:2" x14ac:dyDescent="0.3">
      <c r="A1626" s="38">
        <f>Lookup!A1626</f>
        <v>0</v>
      </c>
      <c r="B1626" s="39">
        <f>SUMIFS(ItemInvoiceTracker!C:C,ItemInvoiceTracker!E:E,Data!A1626)</f>
        <v>0</v>
      </c>
    </row>
    <row r="1627" spans="1:2" x14ac:dyDescent="0.3">
      <c r="A1627" s="38">
        <f>Lookup!A1627</f>
        <v>0</v>
      </c>
      <c r="B1627" s="39">
        <f>SUMIFS(ItemInvoiceTracker!C:C,ItemInvoiceTracker!E:E,Data!A1627)</f>
        <v>0</v>
      </c>
    </row>
    <row r="1628" spans="1:2" x14ac:dyDescent="0.3">
      <c r="A1628" s="38">
        <f>Lookup!A1628</f>
        <v>0</v>
      </c>
      <c r="B1628" s="39">
        <f>SUMIFS(ItemInvoiceTracker!C:C,ItemInvoiceTracker!E:E,Data!A1628)</f>
        <v>0</v>
      </c>
    </row>
    <row r="1629" spans="1:2" x14ac:dyDescent="0.3">
      <c r="A1629" s="38">
        <f>Lookup!A1629</f>
        <v>0</v>
      </c>
      <c r="B1629" s="39">
        <f>SUMIFS(ItemInvoiceTracker!C:C,ItemInvoiceTracker!E:E,Data!A1629)</f>
        <v>0</v>
      </c>
    </row>
    <row r="1630" spans="1:2" x14ac:dyDescent="0.3">
      <c r="A1630" s="38">
        <f>Lookup!A1630</f>
        <v>0</v>
      </c>
      <c r="B1630" s="39">
        <f>SUMIFS(ItemInvoiceTracker!C:C,ItemInvoiceTracker!E:E,Data!A1630)</f>
        <v>0</v>
      </c>
    </row>
    <row r="1631" spans="1:2" x14ac:dyDescent="0.3">
      <c r="A1631" s="38">
        <f>Lookup!A1631</f>
        <v>0</v>
      </c>
      <c r="B1631" s="39">
        <f>SUMIFS(ItemInvoiceTracker!C:C,ItemInvoiceTracker!E:E,Data!A1631)</f>
        <v>0</v>
      </c>
    </row>
    <row r="1632" spans="1:2" x14ac:dyDescent="0.3">
      <c r="A1632" s="38">
        <f>Lookup!A1632</f>
        <v>0</v>
      </c>
      <c r="B1632" s="39">
        <f>SUMIFS(ItemInvoiceTracker!C:C,ItemInvoiceTracker!E:E,Data!A1632)</f>
        <v>0</v>
      </c>
    </row>
    <row r="1633" spans="1:2" x14ac:dyDescent="0.3">
      <c r="A1633" s="38">
        <f>Lookup!A1633</f>
        <v>0</v>
      </c>
      <c r="B1633" s="39">
        <f>SUMIFS(ItemInvoiceTracker!C:C,ItemInvoiceTracker!E:E,Data!A1633)</f>
        <v>0</v>
      </c>
    </row>
    <row r="1634" spans="1:2" x14ac:dyDescent="0.3">
      <c r="A1634" s="38">
        <f>Lookup!A1634</f>
        <v>0</v>
      </c>
      <c r="B1634" s="39">
        <f>SUMIFS(ItemInvoiceTracker!C:C,ItemInvoiceTracker!E:E,Data!A1634)</f>
        <v>0</v>
      </c>
    </row>
    <row r="1635" spans="1:2" x14ac:dyDescent="0.3">
      <c r="A1635" s="38">
        <f>Lookup!A1635</f>
        <v>0</v>
      </c>
      <c r="B1635" s="39">
        <f>SUMIFS(ItemInvoiceTracker!C:C,ItemInvoiceTracker!E:E,Data!A1635)</f>
        <v>0</v>
      </c>
    </row>
    <row r="1636" spans="1:2" x14ac:dyDescent="0.3">
      <c r="A1636" s="38">
        <f>Lookup!A1636</f>
        <v>0</v>
      </c>
      <c r="B1636" s="39">
        <f>SUMIFS(ItemInvoiceTracker!C:C,ItemInvoiceTracker!E:E,Data!A1636)</f>
        <v>0</v>
      </c>
    </row>
    <row r="1637" spans="1:2" x14ac:dyDescent="0.3">
      <c r="A1637" s="38">
        <f>Lookup!A1637</f>
        <v>0</v>
      </c>
      <c r="B1637" s="39">
        <f>SUMIFS(ItemInvoiceTracker!C:C,ItemInvoiceTracker!E:E,Data!A1637)</f>
        <v>0</v>
      </c>
    </row>
    <row r="1638" spans="1:2" x14ac:dyDescent="0.3">
      <c r="A1638" s="38">
        <f>Lookup!A1638</f>
        <v>0</v>
      </c>
      <c r="B1638" s="39">
        <f>SUMIFS(ItemInvoiceTracker!C:C,ItemInvoiceTracker!E:E,Data!A1638)</f>
        <v>0</v>
      </c>
    </row>
    <row r="1639" spans="1:2" x14ac:dyDescent="0.3">
      <c r="A1639" s="38">
        <f>Lookup!A1639</f>
        <v>0</v>
      </c>
      <c r="B1639" s="39">
        <f>SUMIFS(ItemInvoiceTracker!C:C,ItemInvoiceTracker!E:E,Data!A1639)</f>
        <v>0</v>
      </c>
    </row>
    <row r="1640" spans="1:2" x14ac:dyDescent="0.3">
      <c r="A1640" s="38">
        <f>Lookup!A1640</f>
        <v>0</v>
      </c>
      <c r="B1640" s="39">
        <f>SUMIFS(ItemInvoiceTracker!C:C,ItemInvoiceTracker!E:E,Data!A1640)</f>
        <v>0</v>
      </c>
    </row>
    <row r="1641" spans="1:2" x14ac:dyDescent="0.3">
      <c r="A1641" s="38">
        <f>Lookup!A1641</f>
        <v>0</v>
      </c>
      <c r="B1641" s="39">
        <f>SUMIFS(ItemInvoiceTracker!C:C,ItemInvoiceTracker!E:E,Data!A1641)</f>
        <v>0</v>
      </c>
    </row>
    <row r="1642" spans="1:2" x14ac:dyDescent="0.3">
      <c r="A1642" s="38">
        <f>Lookup!A1642</f>
        <v>0</v>
      </c>
      <c r="B1642" s="39">
        <f>SUMIFS(ItemInvoiceTracker!C:C,ItemInvoiceTracker!E:E,Data!A1642)</f>
        <v>0</v>
      </c>
    </row>
    <row r="1643" spans="1:2" x14ac:dyDescent="0.3">
      <c r="A1643" s="38">
        <f>Lookup!A1643</f>
        <v>0</v>
      </c>
      <c r="B1643" s="39">
        <f>SUMIFS(ItemInvoiceTracker!C:C,ItemInvoiceTracker!E:E,Data!A1643)</f>
        <v>0</v>
      </c>
    </row>
    <row r="1644" spans="1:2" x14ac:dyDescent="0.3">
      <c r="A1644" s="38">
        <f>Lookup!A1644</f>
        <v>0</v>
      </c>
      <c r="B1644" s="39">
        <f>SUMIFS(ItemInvoiceTracker!C:C,ItemInvoiceTracker!E:E,Data!A1644)</f>
        <v>0</v>
      </c>
    </row>
    <row r="1645" spans="1:2" x14ac:dyDescent="0.3">
      <c r="A1645" s="38">
        <f>Lookup!A1645</f>
        <v>0</v>
      </c>
      <c r="B1645" s="39">
        <f>SUMIFS(ItemInvoiceTracker!C:C,ItemInvoiceTracker!E:E,Data!A1645)</f>
        <v>0</v>
      </c>
    </row>
    <row r="1646" spans="1:2" x14ac:dyDescent="0.3">
      <c r="A1646" s="38">
        <f>Lookup!A1646</f>
        <v>0</v>
      </c>
      <c r="B1646" s="39">
        <f>SUMIFS(ItemInvoiceTracker!C:C,ItemInvoiceTracker!E:E,Data!A1646)</f>
        <v>0</v>
      </c>
    </row>
    <row r="1647" spans="1:2" x14ac:dyDescent="0.3">
      <c r="A1647" s="38">
        <f>Lookup!A1647</f>
        <v>0</v>
      </c>
      <c r="B1647" s="39">
        <f>SUMIFS(ItemInvoiceTracker!C:C,ItemInvoiceTracker!E:E,Data!A1647)</f>
        <v>0</v>
      </c>
    </row>
    <row r="1648" spans="1:2" x14ac:dyDescent="0.3">
      <c r="A1648" s="38">
        <f>Lookup!A1648</f>
        <v>0</v>
      </c>
      <c r="B1648" s="39">
        <f>SUMIFS(ItemInvoiceTracker!C:C,ItemInvoiceTracker!E:E,Data!A1648)</f>
        <v>0</v>
      </c>
    </row>
    <row r="1649" spans="1:2" x14ac:dyDescent="0.3">
      <c r="A1649" s="38">
        <f>Lookup!A1649</f>
        <v>0</v>
      </c>
      <c r="B1649" s="39">
        <f>SUMIFS(ItemInvoiceTracker!C:C,ItemInvoiceTracker!E:E,Data!A1649)</f>
        <v>0</v>
      </c>
    </row>
    <row r="1650" spans="1:2" x14ac:dyDescent="0.3">
      <c r="A1650" s="38">
        <f>Lookup!A1650</f>
        <v>0</v>
      </c>
      <c r="B1650" s="39">
        <f>SUMIFS(ItemInvoiceTracker!C:C,ItemInvoiceTracker!E:E,Data!A1650)</f>
        <v>0</v>
      </c>
    </row>
    <row r="1651" spans="1:2" x14ac:dyDescent="0.3">
      <c r="A1651" s="38">
        <f>Lookup!A1651</f>
        <v>0</v>
      </c>
      <c r="B1651" s="39">
        <f>SUMIFS(ItemInvoiceTracker!C:C,ItemInvoiceTracker!E:E,Data!A1651)</f>
        <v>0</v>
      </c>
    </row>
    <row r="1652" spans="1:2" x14ac:dyDescent="0.3">
      <c r="A1652" s="38">
        <f>Lookup!A1652</f>
        <v>0</v>
      </c>
      <c r="B1652" s="39">
        <f>SUMIFS(ItemInvoiceTracker!C:C,ItemInvoiceTracker!E:E,Data!A1652)</f>
        <v>0</v>
      </c>
    </row>
    <row r="1653" spans="1:2" x14ac:dyDescent="0.3">
      <c r="A1653" s="38">
        <f>Lookup!A1653</f>
        <v>0</v>
      </c>
      <c r="B1653" s="39">
        <f>SUMIFS(ItemInvoiceTracker!C:C,ItemInvoiceTracker!E:E,Data!A1653)</f>
        <v>0</v>
      </c>
    </row>
    <row r="1654" spans="1:2" x14ac:dyDescent="0.3">
      <c r="A1654" s="38">
        <f>Lookup!A1654</f>
        <v>0</v>
      </c>
      <c r="B1654" s="39">
        <f>SUMIFS(ItemInvoiceTracker!C:C,ItemInvoiceTracker!E:E,Data!A1654)</f>
        <v>0</v>
      </c>
    </row>
    <row r="1655" spans="1:2" x14ac:dyDescent="0.3">
      <c r="A1655" s="38">
        <f>Lookup!A1655</f>
        <v>0</v>
      </c>
      <c r="B1655" s="39">
        <f>SUMIFS(ItemInvoiceTracker!C:C,ItemInvoiceTracker!E:E,Data!A1655)</f>
        <v>0</v>
      </c>
    </row>
    <row r="1656" spans="1:2" x14ac:dyDescent="0.3">
      <c r="A1656" s="38">
        <f>Lookup!A1656</f>
        <v>0</v>
      </c>
      <c r="B1656" s="39">
        <f>SUMIFS(ItemInvoiceTracker!C:C,ItemInvoiceTracker!E:E,Data!A1656)</f>
        <v>0</v>
      </c>
    </row>
    <row r="1657" spans="1:2" x14ac:dyDescent="0.3">
      <c r="A1657" s="38">
        <f>Lookup!A1657</f>
        <v>0</v>
      </c>
      <c r="B1657" s="39">
        <f>SUMIFS(ItemInvoiceTracker!C:C,ItemInvoiceTracker!E:E,Data!A1657)</f>
        <v>0</v>
      </c>
    </row>
    <row r="1658" spans="1:2" x14ac:dyDescent="0.3">
      <c r="A1658" s="38">
        <f>Lookup!A1658</f>
        <v>0</v>
      </c>
      <c r="B1658" s="39">
        <f>SUMIFS(ItemInvoiceTracker!C:C,ItemInvoiceTracker!E:E,Data!A1658)</f>
        <v>0</v>
      </c>
    </row>
    <row r="1659" spans="1:2" x14ac:dyDescent="0.3">
      <c r="A1659" s="38">
        <f>Lookup!A1659</f>
        <v>0</v>
      </c>
      <c r="B1659" s="39">
        <f>SUMIFS(ItemInvoiceTracker!C:C,ItemInvoiceTracker!E:E,Data!A1659)</f>
        <v>0</v>
      </c>
    </row>
    <row r="1660" spans="1:2" x14ac:dyDescent="0.3">
      <c r="A1660" s="38">
        <f>Lookup!A1660</f>
        <v>0</v>
      </c>
      <c r="B1660" s="39">
        <f>SUMIFS(ItemInvoiceTracker!C:C,ItemInvoiceTracker!E:E,Data!A1660)</f>
        <v>0</v>
      </c>
    </row>
    <row r="1661" spans="1:2" x14ac:dyDescent="0.3">
      <c r="A1661" s="38">
        <f>Lookup!A1661</f>
        <v>0</v>
      </c>
      <c r="B1661" s="39">
        <f>SUMIFS(ItemInvoiceTracker!C:C,ItemInvoiceTracker!E:E,Data!A1661)</f>
        <v>0</v>
      </c>
    </row>
    <row r="1662" spans="1:2" x14ac:dyDescent="0.3">
      <c r="A1662" s="38">
        <f>Lookup!A1662</f>
        <v>0</v>
      </c>
      <c r="B1662" s="39">
        <f>SUMIFS(ItemInvoiceTracker!C:C,ItemInvoiceTracker!E:E,Data!A1662)</f>
        <v>0</v>
      </c>
    </row>
    <row r="1663" spans="1:2" x14ac:dyDescent="0.3">
      <c r="A1663" s="38">
        <f>Lookup!A1663</f>
        <v>0</v>
      </c>
      <c r="B1663" s="39">
        <f>SUMIFS(ItemInvoiceTracker!C:C,ItemInvoiceTracker!E:E,Data!A1663)</f>
        <v>0</v>
      </c>
    </row>
    <row r="1664" spans="1:2" x14ac:dyDescent="0.3">
      <c r="A1664" s="38">
        <f>Lookup!A1664</f>
        <v>0</v>
      </c>
      <c r="B1664" s="39">
        <f>SUMIFS(ItemInvoiceTracker!C:C,ItemInvoiceTracker!E:E,Data!A1664)</f>
        <v>0</v>
      </c>
    </row>
    <row r="1665" spans="1:2" x14ac:dyDescent="0.3">
      <c r="A1665" s="38">
        <f>Lookup!A1665</f>
        <v>0</v>
      </c>
      <c r="B1665" s="39">
        <f>SUMIFS(ItemInvoiceTracker!C:C,ItemInvoiceTracker!E:E,Data!A1665)</f>
        <v>0</v>
      </c>
    </row>
    <row r="1666" spans="1:2" x14ac:dyDescent="0.3">
      <c r="A1666" s="38">
        <f>Lookup!A1666</f>
        <v>0</v>
      </c>
      <c r="B1666" s="39">
        <f>SUMIFS(ItemInvoiceTracker!C:C,ItemInvoiceTracker!E:E,Data!A1666)</f>
        <v>0</v>
      </c>
    </row>
    <row r="1667" spans="1:2" x14ac:dyDescent="0.3">
      <c r="A1667" s="38">
        <f>Lookup!A1667</f>
        <v>0</v>
      </c>
      <c r="B1667" s="39">
        <f>SUMIFS(ItemInvoiceTracker!C:C,ItemInvoiceTracker!E:E,Data!A1667)</f>
        <v>0</v>
      </c>
    </row>
    <row r="1668" spans="1:2" x14ac:dyDescent="0.3">
      <c r="A1668" s="38">
        <f>Lookup!A1668</f>
        <v>0</v>
      </c>
      <c r="B1668" s="39">
        <f>SUMIFS(ItemInvoiceTracker!C:C,ItemInvoiceTracker!E:E,Data!A1668)</f>
        <v>0</v>
      </c>
    </row>
    <row r="1669" spans="1:2" x14ac:dyDescent="0.3">
      <c r="A1669" s="38">
        <f>Lookup!A1669</f>
        <v>0</v>
      </c>
      <c r="B1669" s="39">
        <f>SUMIFS(ItemInvoiceTracker!C:C,ItemInvoiceTracker!E:E,Data!A1669)</f>
        <v>0</v>
      </c>
    </row>
    <row r="1670" spans="1:2" x14ac:dyDescent="0.3">
      <c r="A1670" s="38">
        <f>Lookup!A1670</f>
        <v>0</v>
      </c>
      <c r="B1670" s="39">
        <f>SUMIFS(ItemInvoiceTracker!C:C,ItemInvoiceTracker!E:E,Data!A1670)</f>
        <v>0</v>
      </c>
    </row>
    <row r="1671" spans="1:2" x14ac:dyDescent="0.3">
      <c r="A1671" s="38">
        <f>Lookup!A1671</f>
        <v>0</v>
      </c>
      <c r="B1671" s="39">
        <f>SUMIFS(ItemInvoiceTracker!C:C,ItemInvoiceTracker!E:E,Data!A1671)</f>
        <v>0</v>
      </c>
    </row>
    <row r="1672" spans="1:2" x14ac:dyDescent="0.3">
      <c r="A1672" s="38">
        <f>Lookup!A1672</f>
        <v>0</v>
      </c>
      <c r="B1672" s="39">
        <f>SUMIFS(ItemInvoiceTracker!C:C,ItemInvoiceTracker!E:E,Data!A1672)</f>
        <v>0</v>
      </c>
    </row>
    <row r="1673" spans="1:2" x14ac:dyDescent="0.3">
      <c r="A1673" s="38">
        <f>Lookup!A1673</f>
        <v>0</v>
      </c>
      <c r="B1673" s="39">
        <f>SUMIFS(ItemInvoiceTracker!C:C,ItemInvoiceTracker!E:E,Data!A1673)</f>
        <v>0</v>
      </c>
    </row>
    <row r="1674" spans="1:2" x14ac:dyDescent="0.3">
      <c r="A1674" s="38">
        <f>Lookup!A1674</f>
        <v>0</v>
      </c>
      <c r="B1674" s="39">
        <f>SUMIFS(ItemInvoiceTracker!C:C,ItemInvoiceTracker!E:E,Data!A1674)</f>
        <v>0</v>
      </c>
    </row>
    <row r="1675" spans="1:2" x14ac:dyDescent="0.3">
      <c r="A1675" s="38">
        <f>Lookup!A1675</f>
        <v>0</v>
      </c>
      <c r="B1675" s="39">
        <f>SUMIFS(ItemInvoiceTracker!C:C,ItemInvoiceTracker!E:E,Data!A1675)</f>
        <v>0</v>
      </c>
    </row>
    <row r="1676" spans="1:2" x14ac:dyDescent="0.3">
      <c r="A1676" s="38">
        <f>Lookup!A1676</f>
        <v>0</v>
      </c>
      <c r="B1676" s="39">
        <f>SUMIFS(ItemInvoiceTracker!C:C,ItemInvoiceTracker!E:E,Data!A1676)</f>
        <v>0</v>
      </c>
    </row>
    <row r="1677" spans="1:2" x14ac:dyDescent="0.3">
      <c r="A1677" s="38">
        <f>Lookup!A1677</f>
        <v>0</v>
      </c>
      <c r="B1677" s="39">
        <f>SUMIFS(ItemInvoiceTracker!C:C,ItemInvoiceTracker!E:E,Data!A1677)</f>
        <v>0</v>
      </c>
    </row>
    <row r="1678" spans="1:2" x14ac:dyDescent="0.3">
      <c r="A1678" s="38">
        <f>Lookup!A1678</f>
        <v>0</v>
      </c>
      <c r="B1678" s="39">
        <f>SUMIFS(ItemInvoiceTracker!C:C,ItemInvoiceTracker!E:E,Data!A1678)</f>
        <v>0</v>
      </c>
    </row>
    <row r="1679" spans="1:2" x14ac:dyDescent="0.3">
      <c r="A1679" s="38">
        <f>Lookup!A1679</f>
        <v>0</v>
      </c>
      <c r="B1679" s="39">
        <f>SUMIFS(ItemInvoiceTracker!C:C,ItemInvoiceTracker!E:E,Data!A1679)</f>
        <v>0</v>
      </c>
    </row>
    <row r="1680" spans="1:2" x14ac:dyDescent="0.3">
      <c r="A1680" s="38">
        <f>Lookup!A1680</f>
        <v>0</v>
      </c>
      <c r="B1680" s="39">
        <f>SUMIFS(ItemInvoiceTracker!C:C,ItemInvoiceTracker!E:E,Data!A1680)</f>
        <v>0</v>
      </c>
    </row>
    <row r="1681" spans="1:2" x14ac:dyDescent="0.3">
      <c r="A1681" s="38">
        <f>Lookup!A1681</f>
        <v>0</v>
      </c>
      <c r="B1681" s="39">
        <f>SUMIFS(ItemInvoiceTracker!C:C,ItemInvoiceTracker!E:E,Data!A1681)</f>
        <v>0</v>
      </c>
    </row>
    <row r="1682" spans="1:2" x14ac:dyDescent="0.3">
      <c r="A1682" s="38">
        <f>Lookup!A1682</f>
        <v>0</v>
      </c>
      <c r="B1682" s="39">
        <f>SUMIFS(ItemInvoiceTracker!C:C,ItemInvoiceTracker!E:E,Data!A1682)</f>
        <v>0</v>
      </c>
    </row>
    <row r="1683" spans="1:2" x14ac:dyDescent="0.3">
      <c r="A1683" s="38">
        <f>Lookup!A1683</f>
        <v>0</v>
      </c>
      <c r="B1683" s="39">
        <f>SUMIFS(ItemInvoiceTracker!C:C,ItemInvoiceTracker!E:E,Data!A1683)</f>
        <v>0</v>
      </c>
    </row>
    <row r="1684" spans="1:2" x14ac:dyDescent="0.3">
      <c r="A1684" s="38">
        <f>Lookup!A1684</f>
        <v>0</v>
      </c>
      <c r="B1684" s="39">
        <f>SUMIFS(ItemInvoiceTracker!C:C,ItemInvoiceTracker!E:E,Data!A1684)</f>
        <v>0</v>
      </c>
    </row>
    <row r="1685" spans="1:2" x14ac:dyDescent="0.3">
      <c r="A1685" s="38">
        <f>Lookup!A1685</f>
        <v>0</v>
      </c>
      <c r="B1685" s="39">
        <f>SUMIFS(ItemInvoiceTracker!C:C,ItemInvoiceTracker!E:E,Data!A1685)</f>
        <v>0</v>
      </c>
    </row>
    <row r="1686" spans="1:2" x14ac:dyDescent="0.3">
      <c r="A1686" s="38">
        <f>Lookup!A1686</f>
        <v>0</v>
      </c>
      <c r="B1686" s="39">
        <f>SUMIFS(ItemInvoiceTracker!C:C,ItemInvoiceTracker!E:E,Data!A1686)</f>
        <v>0</v>
      </c>
    </row>
    <row r="1687" spans="1:2" x14ac:dyDescent="0.3">
      <c r="A1687" s="38">
        <f>Lookup!A1687</f>
        <v>0</v>
      </c>
      <c r="B1687" s="39">
        <f>SUMIFS(ItemInvoiceTracker!C:C,ItemInvoiceTracker!E:E,Data!A1687)</f>
        <v>0</v>
      </c>
    </row>
    <row r="1688" spans="1:2" x14ac:dyDescent="0.3">
      <c r="A1688" s="38">
        <f>Lookup!A1688</f>
        <v>0</v>
      </c>
      <c r="B1688" s="39">
        <f>SUMIFS(ItemInvoiceTracker!C:C,ItemInvoiceTracker!E:E,Data!A1688)</f>
        <v>0</v>
      </c>
    </row>
    <row r="1689" spans="1:2" x14ac:dyDescent="0.3">
      <c r="A1689" s="38">
        <f>Lookup!A1689</f>
        <v>0</v>
      </c>
      <c r="B1689" s="39">
        <f>SUMIFS(ItemInvoiceTracker!C:C,ItemInvoiceTracker!E:E,Data!A1689)</f>
        <v>0</v>
      </c>
    </row>
    <row r="1690" spans="1:2" x14ac:dyDescent="0.3">
      <c r="A1690" s="38">
        <f>Lookup!A1690</f>
        <v>0</v>
      </c>
      <c r="B1690" s="39">
        <f>SUMIFS(ItemInvoiceTracker!C:C,ItemInvoiceTracker!E:E,Data!A1690)</f>
        <v>0</v>
      </c>
    </row>
    <row r="1691" spans="1:2" x14ac:dyDescent="0.3">
      <c r="A1691" s="38">
        <f>Lookup!A1691</f>
        <v>0</v>
      </c>
      <c r="B1691" s="39">
        <f>SUMIFS(ItemInvoiceTracker!C:C,ItemInvoiceTracker!E:E,Data!A1691)</f>
        <v>0</v>
      </c>
    </row>
    <row r="1692" spans="1:2" x14ac:dyDescent="0.3">
      <c r="A1692" s="38">
        <f>Lookup!A1692</f>
        <v>0</v>
      </c>
      <c r="B1692" s="39">
        <f>SUMIFS(ItemInvoiceTracker!C:C,ItemInvoiceTracker!E:E,Data!A1692)</f>
        <v>0</v>
      </c>
    </row>
    <row r="1693" spans="1:2" x14ac:dyDescent="0.3">
      <c r="A1693" s="38">
        <f>Lookup!A1693</f>
        <v>0</v>
      </c>
      <c r="B1693" s="39">
        <f>SUMIFS(ItemInvoiceTracker!C:C,ItemInvoiceTracker!E:E,Data!A1693)</f>
        <v>0</v>
      </c>
    </row>
    <row r="1694" spans="1:2" x14ac:dyDescent="0.3">
      <c r="A1694" s="38">
        <f>Lookup!A1694</f>
        <v>0</v>
      </c>
      <c r="B1694" s="39">
        <f>SUMIFS(ItemInvoiceTracker!C:C,ItemInvoiceTracker!E:E,Data!A1694)</f>
        <v>0</v>
      </c>
    </row>
    <row r="1695" spans="1:2" x14ac:dyDescent="0.3">
      <c r="A1695" s="38">
        <f>Lookup!A1695</f>
        <v>0</v>
      </c>
      <c r="B1695" s="39">
        <f>SUMIFS(ItemInvoiceTracker!C:C,ItemInvoiceTracker!E:E,Data!A1695)</f>
        <v>0</v>
      </c>
    </row>
    <row r="1696" spans="1:2" x14ac:dyDescent="0.3">
      <c r="A1696" s="38">
        <f>Lookup!A1696</f>
        <v>0</v>
      </c>
      <c r="B1696" s="39">
        <f>SUMIFS(ItemInvoiceTracker!C:C,ItemInvoiceTracker!E:E,Data!A1696)</f>
        <v>0</v>
      </c>
    </row>
    <row r="1697" spans="1:2" x14ac:dyDescent="0.3">
      <c r="A1697" s="38">
        <f>Lookup!A1697</f>
        <v>0</v>
      </c>
      <c r="B1697" s="39">
        <f>SUMIFS(ItemInvoiceTracker!C:C,ItemInvoiceTracker!E:E,Data!A1697)</f>
        <v>0</v>
      </c>
    </row>
    <row r="1698" spans="1:2" x14ac:dyDescent="0.3">
      <c r="A1698" s="38">
        <f>Lookup!A1698</f>
        <v>0</v>
      </c>
      <c r="B1698" s="39">
        <f>SUMIFS(ItemInvoiceTracker!C:C,ItemInvoiceTracker!E:E,Data!A1698)</f>
        <v>0</v>
      </c>
    </row>
    <row r="1699" spans="1:2" x14ac:dyDescent="0.3">
      <c r="A1699" s="38">
        <f>Lookup!A1699</f>
        <v>0</v>
      </c>
      <c r="B1699" s="39">
        <f>SUMIFS(ItemInvoiceTracker!C:C,ItemInvoiceTracker!E:E,Data!A1699)</f>
        <v>0</v>
      </c>
    </row>
    <row r="1700" spans="1:2" x14ac:dyDescent="0.3">
      <c r="A1700" s="38">
        <f>Lookup!A1700</f>
        <v>0</v>
      </c>
      <c r="B1700" s="39">
        <f>SUMIFS(ItemInvoiceTracker!C:C,ItemInvoiceTracker!E:E,Data!A1700)</f>
        <v>0</v>
      </c>
    </row>
    <row r="1701" spans="1:2" x14ac:dyDescent="0.3">
      <c r="A1701" s="38">
        <f>Lookup!A1701</f>
        <v>0</v>
      </c>
      <c r="B1701" s="39">
        <f>SUMIFS(ItemInvoiceTracker!C:C,ItemInvoiceTracker!E:E,Data!A1701)</f>
        <v>0</v>
      </c>
    </row>
    <row r="1702" spans="1:2" x14ac:dyDescent="0.3">
      <c r="A1702" s="38">
        <f>Lookup!A1702</f>
        <v>0</v>
      </c>
      <c r="B1702" s="39">
        <f>SUMIFS(ItemInvoiceTracker!C:C,ItemInvoiceTracker!E:E,Data!A1702)</f>
        <v>0</v>
      </c>
    </row>
    <row r="1703" spans="1:2" x14ac:dyDescent="0.3">
      <c r="A1703" s="38">
        <f>Lookup!A1703</f>
        <v>0</v>
      </c>
      <c r="B1703" s="39">
        <f>SUMIFS(ItemInvoiceTracker!C:C,ItemInvoiceTracker!E:E,Data!A1703)</f>
        <v>0</v>
      </c>
    </row>
    <row r="1704" spans="1:2" x14ac:dyDescent="0.3">
      <c r="A1704" s="38">
        <f>Lookup!A1704</f>
        <v>0</v>
      </c>
      <c r="B1704" s="39">
        <f>SUMIFS(ItemInvoiceTracker!C:C,ItemInvoiceTracker!E:E,Data!A1704)</f>
        <v>0</v>
      </c>
    </row>
    <row r="1705" spans="1:2" x14ac:dyDescent="0.3">
      <c r="A1705" s="38">
        <f>Lookup!A1705</f>
        <v>0</v>
      </c>
      <c r="B1705" s="39">
        <f>SUMIFS(ItemInvoiceTracker!C:C,ItemInvoiceTracker!E:E,Data!A1705)</f>
        <v>0</v>
      </c>
    </row>
    <row r="1706" spans="1:2" x14ac:dyDescent="0.3">
      <c r="A1706" s="38">
        <f>Lookup!A1706</f>
        <v>0</v>
      </c>
      <c r="B1706" s="39">
        <f>SUMIFS(ItemInvoiceTracker!C:C,ItemInvoiceTracker!E:E,Data!A1706)</f>
        <v>0</v>
      </c>
    </row>
    <row r="1707" spans="1:2" x14ac:dyDescent="0.3">
      <c r="A1707" s="38">
        <f>Lookup!A1707</f>
        <v>0</v>
      </c>
      <c r="B1707" s="39">
        <f>SUMIFS(ItemInvoiceTracker!C:C,ItemInvoiceTracker!E:E,Data!A1707)</f>
        <v>0</v>
      </c>
    </row>
    <row r="1708" spans="1:2" x14ac:dyDescent="0.3">
      <c r="A1708" s="38">
        <f>Lookup!A1708</f>
        <v>0</v>
      </c>
      <c r="B1708" s="39">
        <f>SUMIFS(ItemInvoiceTracker!C:C,ItemInvoiceTracker!E:E,Data!A1708)</f>
        <v>0</v>
      </c>
    </row>
    <row r="1709" spans="1:2" x14ac:dyDescent="0.3">
      <c r="A1709" s="38">
        <f>Lookup!A1709</f>
        <v>0</v>
      </c>
      <c r="B1709" s="39">
        <f>SUMIFS(ItemInvoiceTracker!C:C,ItemInvoiceTracker!E:E,Data!A1709)</f>
        <v>0</v>
      </c>
    </row>
    <row r="1710" spans="1:2" x14ac:dyDescent="0.3">
      <c r="A1710" s="38">
        <f>Lookup!A1710</f>
        <v>0</v>
      </c>
      <c r="B1710" s="39">
        <f>SUMIFS(ItemInvoiceTracker!C:C,ItemInvoiceTracker!E:E,Data!A1710)</f>
        <v>0</v>
      </c>
    </row>
    <row r="1711" spans="1:2" x14ac:dyDescent="0.3">
      <c r="A1711" s="38">
        <f>Lookup!A1711</f>
        <v>0</v>
      </c>
      <c r="B1711" s="39">
        <f>SUMIFS(ItemInvoiceTracker!C:C,ItemInvoiceTracker!E:E,Data!A1711)</f>
        <v>0</v>
      </c>
    </row>
    <row r="1712" spans="1:2" x14ac:dyDescent="0.3">
      <c r="A1712" s="38">
        <f>Lookup!A1712</f>
        <v>0</v>
      </c>
      <c r="B1712" s="39">
        <f>SUMIFS(ItemInvoiceTracker!C:C,ItemInvoiceTracker!E:E,Data!A1712)</f>
        <v>0</v>
      </c>
    </row>
    <row r="1713" spans="1:2" x14ac:dyDescent="0.3">
      <c r="A1713" s="38">
        <f>Lookup!A1713</f>
        <v>0</v>
      </c>
      <c r="B1713" s="39">
        <f>SUMIFS(ItemInvoiceTracker!C:C,ItemInvoiceTracker!E:E,Data!A1713)</f>
        <v>0</v>
      </c>
    </row>
    <row r="1714" spans="1:2" x14ac:dyDescent="0.3">
      <c r="A1714" s="38">
        <f>Lookup!A1714</f>
        <v>0</v>
      </c>
      <c r="B1714" s="39">
        <f>SUMIFS(ItemInvoiceTracker!C:C,ItemInvoiceTracker!E:E,Data!A1714)</f>
        <v>0</v>
      </c>
    </row>
    <row r="1715" spans="1:2" x14ac:dyDescent="0.3">
      <c r="A1715" s="38">
        <f>Lookup!A1715</f>
        <v>0</v>
      </c>
      <c r="B1715" s="39">
        <f>SUMIFS(ItemInvoiceTracker!C:C,ItemInvoiceTracker!E:E,Data!A1715)</f>
        <v>0</v>
      </c>
    </row>
    <row r="1716" spans="1:2" x14ac:dyDescent="0.3">
      <c r="A1716" s="38">
        <f>Lookup!A1716</f>
        <v>0</v>
      </c>
      <c r="B1716" s="39">
        <f>SUMIFS(ItemInvoiceTracker!C:C,ItemInvoiceTracker!E:E,Data!A1716)</f>
        <v>0</v>
      </c>
    </row>
    <row r="1717" spans="1:2" x14ac:dyDescent="0.3">
      <c r="A1717" s="38">
        <f>Lookup!A1717</f>
        <v>0</v>
      </c>
      <c r="B1717" s="39">
        <f>SUMIFS(ItemInvoiceTracker!C:C,ItemInvoiceTracker!E:E,Data!A1717)</f>
        <v>0</v>
      </c>
    </row>
    <row r="1718" spans="1:2" x14ac:dyDescent="0.3">
      <c r="A1718" s="38">
        <f>Lookup!A1718</f>
        <v>0</v>
      </c>
      <c r="B1718" s="39">
        <f>SUMIFS(ItemInvoiceTracker!C:C,ItemInvoiceTracker!E:E,Data!A1718)</f>
        <v>0</v>
      </c>
    </row>
    <row r="1719" spans="1:2" x14ac:dyDescent="0.3">
      <c r="A1719" s="38">
        <f>Lookup!A1719</f>
        <v>0</v>
      </c>
      <c r="B1719" s="39">
        <f>SUMIFS(ItemInvoiceTracker!C:C,ItemInvoiceTracker!E:E,Data!A1719)</f>
        <v>0</v>
      </c>
    </row>
    <row r="1720" spans="1:2" x14ac:dyDescent="0.3">
      <c r="A1720" s="38">
        <f>Lookup!A1720</f>
        <v>0</v>
      </c>
      <c r="B1720" s="39">
        <f>SUMIFS(ItemInvoiceTracker!C:C,ItemInvoiceTracker!E:E,Data!A1720)</f>
        <v>0</v>
      </c>
    </row>
    <row r="1721" spans="1:2" x14ac:dyDescent="0.3">
      <c r="A1721" s="38">
        <f>Lookup!A1721</f>
        <v>0</v>
      </c>
      <c r="B1721" s="39">
        <f>SUMIFS(ItemInvoiceTracker!C:C,ItemInvoiceTracker!E:E,Data!A1721)</f>
        <v>0</v>
      </c>
    </row>
    <row r="1722" spans="1:2" x14ac:dyDescent="0.3">
      <c r="A1722" s="38">
        <f>Lookup!A1722</f>
        <v>0</v>
      </c>
      <c r="B1722" s="39">
        <f>SUMIFS(ItemInvoiceTracker!C:C,ItemInvoiceTracker!E:E,Data!A1722)</f>
        <v>0</v>
      </c>
    </row>
    <row r="1723" spans="1:2" x14ac:dyDescent="0.3">
      <c r="A1723" s="38">
        <f>Lookup!A1723</f>
        <v>0</v>
      </c>
      <c r="B1723" s="39">
        <f>SUMIFS(ItemInvoiceTracker!C:C,ItemInvoiceTracker!E:E,Data!A1723)</f>
        <v>0</v>
      </c>
    </row>
    <row r="1724" spans="1:2" x14ac:dyDescent="0.3">
      <c r="A1724" s="38">
        <f>Lookup!A1724</f>
        <v>0</v>
      </c>
      <c r="B1724" s="39">
        <f>SUMIFS(ItemInvoiceTracker!C:C,ItemInvoiceTracker!E:E,Data!A1724)</f>
        <v>0</v>
      </c>
    </row>
    <row r="1725" spans="1:2" x14ac:dyDescent="0.3">
      <c r="A1725" s="38">
        <f>Lookup!A1725</f>
        <v>0</v>
      </c>
      <c r="B1725" s="39">
        <f>SUMIFS(ItemInvoiceTracker!C:C,ItemInvoiceTracker!E:E,Data!A1725)</f>
        <v>0</v>
      </c>
    </row>
    <row r="1726" spans="1:2" x14ac:dyDescent="0.3">
      <c r="A1726" s="38">
        <f>Lookup!A1726</f>
        <v>0</v>
      </c>
      <c r="B1726" s="39">
        <f>SUMIFS(ItemInvoiceTracker!C:C,ItemInvoiceTracker!E:E,Data!A1726)</f>
        <v>0</v>
      </c>
    </row>
    <row r="1727" spans="1:2" x14ac:dyDescent="0.3">
      <c r="A1727" s="38">
        <f>Lookup!A1727</f>
        <v>0</v>
      </c>
      <c r="B1727" s="39">
        <f>SUMIFS(ItemInvoiceTracker!C:C,ItemInvoiceTracker!E:E,Data!A1727)</f>
        <v>0</v>
      </c>
    </row>
    <row r="1728" spans="1:2" x14ac:dyDescent="0.3">
      <c r="A1728" s="38">
        <f>Lookup!A1728</f>
        <v>0</v>
      </c>
      <c r="B1728" s="39">
        <f>SUMIFS(ItemInvoiceTracker!C:C,ItemInvoiceTracker!E:E,Data!A1728)</f>
        <v>0</v>
      </c>
    </row>
    <row r="1729" spans="1:2" x14ac:dyDescent="0.3">
      <c r="A1729" s="38">
        <f>Lookup!A1729</f>
        <v>0</v>
      </c>
      <c r="B1729" s="39">
        <f>SUMIFS(ItemInvoiceTracker!C:C,ItemInvoiceTracker!E:E,Data!A1729)</f>
        <v>0</v>
      </c>
    </row>
    <row r="1730" spans="1:2" x14ac:dyDescent="0.3">
      <c r="A1730" s="38">
        <f>Lookup!A1730</f>
        <v>0</v>
      </c>
      <c r="B1730" s="39">
        <f>SUMIFS(ItemInvoiceTracker!C:C,ItemInvoiceTracker!E:E,Data!A1730)</f>
        <v>0</v>
      </c>
    </row>
    <row r="1731" spans="1:2" x14ac:dyDescent="0.3">
      <c r="A1731" s="38">
        <f>Lookup!A1731</f>
        <v>0</v>
      </c>
      <c r="B1731" s="39">
        <f>SUMIFS(ItemInvoiceTracker!C:C,ItemInvoiceTracker!E:E,Data!A1731)</f>
        <v>0</v>
      </c>
    </row>
    <row r="1732" spans="1:2" x14ac:dyDescent="0.3">
      <c r="A1732" s="38">
        <f>Lookup!A1732</f>
        <v>0</v>
      </c>
      <c r="B1732" s="39">
        <f>SUMIFS(ItemInvoiceTracker!C:C,ItemInvoiceTracker!E:E,Data!A1732)</f>
        <v>0</v>
      </c>
    </row>
    <row r="1733" spans="1:2" x14ac:dyDescent="0.3">
      <c r="A1733" s="38">
        <f>Lookup!A1733</f>
        <v>0</v>
      </c>
      <c r="B1733" s="39">
        <f>SUMIFS(ItemInvoiceTracker!C:C,ItemInvoiceTracker!E:E,Data!A1733)</f>
        <v>0</v>
      </c>
    </row>
    <row r="1734" spans="1:2" x14ac:dyDescent="0.3">
      <c r="A1734" s="38">
        <f>Lookup!A1734</f>
        <v>0</v>
      </c>
      <c r="B1734" s="39">
        <f>SUMIFS(ItemInvoiceTracker!C:C,ItemInvoiceTracker!E:E,Data!A1734)</f>
        <v>0</v>
      </c>
    </row>
    <row r="1735" spans="1:2" x14ac:dyDescent="0.3">
      <c r="A1735" s="38">
        <f>Lookup!A1735</f>
        <v>0</v>
      </c>
      <c r="B1735" s="39">
        <f>SUMIFS(ItemInvoiceTracker!C:C,ItemInvoiceTracker!E:E,Data!A1735)</f>
        <v>0</v>
      </c>
    </row>
    <row r="1736" spans="1:2" x14ac:dyDescent="0.3">
      <c r="A1736" s="38">
        <f>Lookup!A1736</f>
        <v>0</v>
      </c>
      <c r="B1736" s="39">
        <f>SUMIFS(ItemInvoiceTracker!C:C,ItemInvoiceTracker!E:E,Data!A1736)</f>
        <v>0</v>
      </c>
    </row>
    <row r="1737" spans="1:2" x14ac:dyDescent="0.3">
      <c r="A1737" s="38">
        <f>Lookup!A1737</f>
        <v>0</v>
      </c>
      <c r="B1737" s="39">
        <f>SUMIFS(ItemInvoiceTracker!C:C,ItemInvoiceTracker!E:E,Data!A1737)</f>
        <v>0</v>
      </c>
    </row>
    <row r="1738" spans="1:2" x14ac:dyDescent="0.3">
      <c r="A1738" s="38">
        <f>Lookup!A1738</f>
        <v>0</v>
      </c>
      <c r="B1738" s="39">
        <f>SUMIFS(ItemInvoiceTracker!C:C,ItemInvoiceTracker!E:E,Data!A1738)</f>
        <v>0</v>
      </c>
    </row>
    <row r="1739" spans="1:2" x14ac:dyDescent="0.3">
      <c r="A1739" s="38">
        <f>Lookup!A1739</f>
        <v>0</v>
      </c>
      <c r="B1739" s="39">
        <f>SUMIFS(ItemInvoiceTracker!C:C,ItemInvoiceTracker!E:E,Data!A1739)</f>
        <v>0</v>
      </c>
    </row>
    <row r="1740" spans="1:2" x14ac:dyDescent="0.3">
      <c r="A1740" s="38">
        <f>Lookup!A1740</f>
        <v>0</v>
      </c>
      <c r="B1740" s="39">
        <f>SUMIFS(ItemInvoiceTracker!C:C,ItemInvoiceTracker!E:E,Data!A1740)</f>
        <v>0</v>
      </c>
    </row>
    <row r="1741" spans="1:2" x14ac:dyDescent="0.3">
      <c r="A1741" s="38">
        <f>Lookup!A1741</f>
        <v>0</v>
      </c>
      <c r="B1741" s="39">
        <f>SUMIFS(ItemInvoiceTracker!C:C,ItemInvoiceTracker!E:E,Data!A1741)</f>
        <v>0</v>
      </c>
    </row>
    <row r="1742" spans="1:2" x14ac:dyDescent="0.3">
      <c r="A1742" s="38">
        <f>Lookup!A1742</f>
        <v>0</v>
      </c>
      <c r="B1742" s="39">
        <f>SUMIFS(ItemInvoiceTracker!C:C,ItemInvoiceTracker!E:E,Data!A1742)</f>
        <v>0</v>
      </c>
    </row>
    <row r="1743" spans="1:2" x14ac:dyDescent="0.3">
      <c r="A1743" s="38">
        <f>Lookup!A1743</f>
        <v>0</v>
      </c>
      <c r="B1743" s="39">
        <f>SUMIFS(ItemInvoiceTracker!C:C,ItemInvoiceTracker!E:E,Data!A1743)</f>
        <v>0</v>
      </c>
    </row>
    <row r="1744" spans="1:2" x14ac:dyDescent="0.3">
      <c r="A1744" s="38">
        <f>Lookup!A1744</f>
        <v>0</v>
      </c>
      <c r="B1744" s="39">
        <f>SUMIFS(ItemInvoiceTracker!C:C,ItemInvoiceTracker!E:E,Data!A1744)</f>
        <v>0</v>
      </c>
    </row>
    <row r="1745" spans="1:2" x14ac:dyDescent="0.3">
      <c r="A1745" s="38">
        <f>Lookup!A1745</f>
        <v>0</v>
      </c>
      <c r="B1745" s="39">
        <f>SUMIFS(ItemInvoiceTracker!C:C,ItemInvoiceTracker!E:E,Data!A1745)</f>
        <v>0</v>
      </c>
    </row>
    <row r="1746" spans="1:2" x14ac:dyDescent="0.3">
      <c r="A1746" s="38">
        <f>Lookup!A1746</f>
        <v>0</v>
      </c>
      <c r="B1746" s="39">
        <f>SUMIFS(ItemInvoiceTracker!C:C,ItemInvoiceTracker!E:E,Data!A1746)</f>
        <v>0</v>
      </c>
    </row>
    <row r="1747" spans="1:2" x14ac:dyDescent="0.3">
      <c r="A1747" s="38">
        <f>Lookup!A1747</f>
        <v>0</v>
      </c>
      <c r="B1747" s="39">
        <f>SUMIFS(ItemInvoiceTracker!C:C,ItemInvoiceTracker!E:E,Data!A1747)</f>
        <v>0</v>
      </c>
    </row>
    <row r="1748" spans="1:2" x14ac:dyDescent="0.3">
      <c r="A1748" s="38">
        <f>Lookup!A1748</f>
        <v>0</v>
      </c>
      <c r="B1748" s="39">
        <f>SUMIFS(ItemInvoiceTracker!C:C,ItemInvoiceTracker!E:E,Data!A1748)</f>
        <v>0</v>
      </c>
    </row>
    <row r="1749" spans="1:2" x14ac:dyDescent="0.3">
      <c r="A1749" s="38">
        <f>Lookup!A1749</f>
        <v>0</v>
      </c>
      <c r="B1749" s="39">
        <f>SUMIFS(ItemInvoiceTracker!C:C,ItemInvoiceTracker!E:E,Data!A1749)</f>
        <v>0</v>
      </c>
    </row>
    <row r="1750" spans="1:2" x14ac:dyDescent="0.3">
      <c r="A1750" s="38">
        <f>Lookup!A1750</f>
        <v>0</v>
      </c>
      <c r="B1750" s="39">
        <f>SUMIFS(ItemInvoiceTracker!C:C,ItemInvoiceTracker!E:E,Data!A1750)</f>
        <v>0</v>
      </c>
    </row>
    <row r="1751" spans="1:2" x14ac:dyDescent="0.3">
      <c r="A1751" s="38">
        <f>Lookup!A1751</f>
        <v>0</v>
      </c>
      <c r="B1751" s="39">
        <f>SUMIFS(ItemInvoiceTracker!C:C,ItemInvoiceTracker!E:E,Data!A1751)</f>
        <v>0</v>
      </c>
    </row>
    <row r="1752" spans="1:2" x14ac:dyDescent="0.3">
      <c r="A1752" s="38">
        <f>Lookup!A1752</f>
        <v>0</v>
      </c>
      <c r="B1752" s="39">
        <f>SUMIFS(ItemInvoiceTracker!C:C,ItemInvoiceTracker!E:E,Data!A1752)</f>
        <v>0</v>
      </c>
    </row>
    <row r="1753" spans="1:2" x14ac:dyDescent="0.3">
      <c r="A1753" s="38">
        <f>Lookup!A1753</f>
        <v>0</v>
      </c>
      <c r="B1753" s="39">
        <f>SUMIFS(ItemInvoiceTracker!C:C,ItemInvoiceTracker!E:E,Data!A1753)</f>
        <v>0</v>
      </c>
    </row>
    <row r="1754" spans="1:2" x14ac:dyDescent="0.3">
      <c r="A1754" s="38">
        <f>Lookup!A1754</f>
        <v>0</v>
      </c>
      <c r="B1754" s="39">
        <f>SUMIFS(ItemInvoiceTracker!C:C,ItemInvoiceTracker!E:E,Data!A1754)</f>
        <v>0</v>
      </c>
    </row>
    <row r="1755" spans="1:2" x14ac:dyDescent="0.3">
      <c r="A1755" s="38">
        <f>Lookup!A1755</f>
        <v>0</v>
      </c>
      <c r="B1755" s="39">
        <f>SUMIFS(ItemInvoiceTracker!C:C,ItemInvoiceTracker!E:E,Data!A1755)</f>
        <v>0</v>
      </c>
    </row>
    <row r="1756" spans="1:2" x14ac:dyDescent="0.3">
      <c r="A1756" s="38">
        <f>Lookup!A1756</f>
        <v>0</v>
      </c>
      <c r="B1756" s="39">
        <f>SUMIFS(ItemInvoiceTracker!C:C,ItemInvoiceTracker!E:E,Data!A1756)</f>
        <v>0</v>
      </c>
    </row>
    <row r="1757" spans="1:2" x14ac:dyDescent="0.3">
      <c r="A1757" s="38">
        <f>Lookup!A1757</f>
        <v>0</v>
      </c>
      <c r="B1757" s="39">
        <f>SUMIFS(ItemInvoiceTracker!C:C,ItemInvoiceTracker!E:E,Data!A1757)</f>
        <v>0</v>
      </c>
    </row>
    <row r="1758" spans="1:2" x14ac:dyDescent="0.3">
      <c r="A1758" s="38">
        <f>Lookup!A1758</f>
        <v>0</v>
      </c>
      <c r="B1758" s="39">
        <f>SUMIFS(ItemInvoiceTracker!C:C,ItemInvoiceTracker!E:E,Data!A1758)</f>
        <v>0</v>
      </c>
    </row>
    <row r="1759" spans="1:2" x14ac:dyDescent="0.3">
      <c r="A1759" s="38">
        <f>Lookup!A1759</f>
        <v>0</v>
      </c>
      <c r="B1759" s="39">
        <f>SUMIFS(ItemInvoiceTracker!C:C,ItemInvoiceTracker!E:E,Data!A1759)</f>
        <v>0</v>
      </c>
    </row>
    <row r="1760" spans="1:2" x14ac:dyDescent="0.3">
      <c r="A1760" s="38">
        <f>Lookup!A1760</f>
        <v>0</v>
      </c>
      <c r="B1760" s="39">
        <f>SUMIFS(ItemInvoiceTracker!C:C,ItemInvoiceTracker!E:E,Data!A1760)</f>
        <v>0</v>
      </c>
    </row>
    <row r="1761" spans="1:2" x14ac:dyDescent="0.3">
      <c r="A1761" s="38">
        <f>Lookup!A1761</f>
        <v>0</v>
      </c>
      <c r="B1761" s="39">
        <f>SUMIFS(ItemInvoiceTracker!C:C,ItemInvoiceTracker!E:E,Data!A1761)</f>
        <v>0</v>
      </c>
    </row>
    <row r="1762" spans="1:2" x14ac:dyDescent="0.3">
      <c r="A1762" s="38">
        <f>Lookup!A1762</f>
        <v>0</v>
      </c>
      <c r="B1762" s="39">
        <f>SUMIFS(ItemInvoiceTracker!C:C,ItemInvoiceTracker!E:E,Data!A1762)</f>
        <v>0</v>
      </c>
    </row>
    <row r="1763" spans="1:2" x14ac:dyDescent="0.3">
      <c r="A1763" s="38">
        <f>Lookup!A1763</f>
        <v>0</v>
      </c>
      <c r="B1763" s="39">
        <f>SUMIFS(ItemInvoiceTracker!C:C,ItemInvoiceTracker!E:E,Data!A1763)</f>
        <v>0</v>
      </c>
    </row>
    <row r="1764" spans="1:2" x14ac:dyDescent="0.3">
      <c r="A1764" s="38">
        <f>Lookup!A1764</f>
        <v>0</v>
      </c>
      <c r="B1764" s="39">
        <f>SUMIFS(ItemInvoiceTracker!C:C,ItemInvoiceTracker!E:E,Data!A1764)</f>
        <v>0</v>
      </c>
    </row>
    <row r="1765" spans="1:2" x14ac:dyDescent="0.3">
      <c r="A1765" s="38">
        <f>Lookup!A1765</f>
        <v>0</v>
      </c>
      <c r="B1765" s="39">
        <f>SUMIFS(ItemInvoiceTracker!C:C,ItemInvoiceTracker!E:E,Data!A1765)</f>
        <v>0</v>
      </c>
    </row>
    <row r="1766" spans="1:2" x14ac:dyDescent="0.3">
      <c r="A1766" s="38">
        <f>Lookup!A1766</f>
        <v>0</v>
      </c>
      <c r="B1766" s="39">
        <f>SUMIFS(ItemInvoiceTracker!C:C,ItemInvoiceTracker!E:E,Data!A1766)</f>
        <v>0</v>
      </c>
    </row>
    <row r="1767" spans="1:2" x14ac:dyDescent="0.3">
      <c r="A1767" s="38">
        <f>Lookup!A1767</f>
        <v>0</v>
      </c>
      <c r="B1767" s="39">
        <f>SUMIFS(ItemInvoiceTracker!C:C,ItemInvoiceTracker!E:E,Data!A1767)</f>
        <v>0</v>
      </c>
    </row>
    <row r="1768" spans="1:2" x14ac:dyDescent="0.3">
      <c r="A1768" s="38">
        <f>Lookup!A1768</f>
        <v>0</v>
      </c>
      <c r="B1768" s="39">
        <f>SUMIFS(ItemInvoiceTracker!C:C,ItemInvoiceTracker!E:E,Data!A1768)</f>
        <v>0</v>
      </c>
    </row>
    <row r="1769" spans="1:2" x14ac:dyDescent="0.3">
      <c r="A1769" s="38">
        <f>Lookup!A1769</f>
        <v>0</v>
      </c>
      <c r="B1769" s="39">
        <f>SUMIFS(ItemInvoiceTracker!C:C,ItemInvoiceTracker!E:E,Data!A1769)</f>
        <v>0</v>
      </c>
    </row>
    <row r="1770" spans="1:2" x14ac:dyDescent="0.3">
      <c r="A1770" s="38">
        <f>Lookup!A1770</f>
        <v>0</v>
      </c>
      <c r="B1770" s="39">
        <f>SUMIFS(ItemInvoiceTracker!C:C,ItemInvoiceTracker!E:E,Data!A1770)</f>
        <v>0</v>
      </c>
    </row>
    <row r="1771" spans="1:2" x14ac:dyDescent="0.3">
      <c r="A1771" s="38">
        <f>Lookup!A1771</f>
        <v>0</v>
      </c>
      <c r="B1771" s="39">
        <f>SUMIFS(ItemInvoiceTracker!C:C,ItemInvoiceTracker!E:E,Data!A1771)</f>
        <v>0</v>
      </c>
    </row>
    <row r="1772" spans="1:2" x14ac:dyDescent="0.3">
      <c r="A1772" s="38">
        <f>Lookup!A1772</f>
        <v>0</v>
      </c>
      <c r="B1772" s="39">
        <f>SUMIFS(ItemInvoiceTracker!C:C,ItemInvoiceTracker!E:E,Data!A1772)</f>
        <v>0</v>
      </c>
    </row>
    <row r="1773" spans="1:2" x14ac:dyDescent="0.3">
      <c r="A1773" s="38">
        <f>Lookup!A1773</f>
        <v>0</v>
      </c>
      <c r="B1773" s="39">
        <f>SUMIFS(ItemInvoiceTracker!C:C,ItemInvoiceTracker!E:E,Data!A1773)</f>
        <v>0</v>
      </c>
    </row>
    <row r="1774" spans="1:2" x14ac:dyDescent="0.3">
      <c r="A1774" s="38">
        <f>Lookup!A1774</f>
        <v>0</v>
      </c>
      <c r="B1774" s="39">
        <f>SUMIFS(ItemInvoiceTracker!C:C,ItemInvoiceTracker!E:E,Data!A1774)</f>
        <v>0</v>
      </c>
    </row>
    <row r="1775" spans="1:2" x14ac:dyDescent="0.3">
      <c r="A1775" s="38">
        <f>Lookup!A1775</f>
        <v>0</v>
      </c>
      <c r="B1775" s="39">
        <f>SUMIFS(ItemInvoiceTracker!C:C,ItemInvoiceTracker!E:E,Data!A1775)</f>
        <v>0</v>
      </c>
    </row>
    <row r="1776" spans="1:2" x14ac:dyDescent="0.3">
      <c r="A1776" s="38">
        <f>Lookup!A1776</f>
        <v>0</v>
      </c>
      <c r="B1776" s="39">
        <f>SUMIFS(ItemInvoiceTracker!C:C,ItemInvoiceTracker!E:E,Data!A1776)</f>
        <v>0</v>
      </c>
    </row>
    <row r="1777" spans="1:2" x14ac:dyDescent="0.3">
      <c r="A1777" s="38">
        <f>Lookup!A1777</f>
        <v>0</v>
      </c>
      <c r="B1777" s="39">
        <f>SUMIFS(ItemInvoiceTracker!C:C,ItemInvoiceTracker!E:E,Data!A1777)</f>
        <v>0</v>
      </c>
    </row>
    <row r="1778" spans="1:2" x14ac:dyDescent="0.3">
      <c r="A1778" s="38">
        <f>Lookup!A1778</f>
        <v>0</v>
      </c>
      <c r="B1778" s="39">
        <f>SUMIFS(ItemInvoiceTracker!C:C,ItemInvoiceTracker!E:E,Data!A1778)</f>
        <v>0</v>
      </c>
    </row>
    <row r="1779" spans="1:2" x14ac:dyDescent="0.3">
      <c r="A1779" s="38">
        <f>Lookup!A1779</f>
        <v>0</v>
      </c>
      <c r="B1779" s="39">
        <f>SUMIFS(ItemInvoiceTracker!C:C,ItemInvoiceTracker!E:E,Data!A1779)</f>
        <v>0</v>
      </c>
    </row>
    <row r="1780" spans="1:2" x14ac:dyDescent="0.3">
      <c r="A1780" s="38">
        <f>Lookup!A1780</f>
        <v>0</v>
      </c>
      <c r="B1780" s="39">
        <f>SUMIFS(ItemInvoiceTracker!C:C,ItemInvoiceTracker!E:E,Data!A1780)</f>
        <v>0</v>
      </c>
    </row>
    <row r="1781" spans="1:2" x14ac:dyDescent="0.3">
      <c r="A1781" s="38">
        <f>Lookup!A1781</f>
        <v>0</v>
      </c>
      <c r="B1781" s="39">
        <f>SUMIFS(ItemInvoiceTracker!C:C,ItemInvoiceTracker!E:E,Data!A1781)</f>
        <v>0</v>
      </c>
    </row>
    <row r="1782" spans="1:2" x14ac:dyDescent="0.3">
      <c r="A1782" s="38">
        <f>Lookup!A1782</f>
        <v>0</v>
      </c>
      <c r="B1782" s="39">
        <f>SUMIFS(ItemInvoiceTracker!C:C,ItemInvoiceTracker!E:E,Data!A1782)</f>
        <v>0</v>
      </c>
    </row>
    <row r="1783" spans="1:2" x14ac:dyDescent="0.3">
      <c r="A1783" s="38">
        <f>Lookup!A1783</f>
        <v>0</v>
      </c>
      <c r="B1783" s="39">
        <f>SUMIFS(ItemInvoiceTracker!C:C,ItemInvoiceTracker!E:E,Data!A1783)</f>
        <v>0</v>
      </c>
    </row>
    <row r="1784" spans="1:2" x14ac:dyDescent="0.3">
      <c r="A1784" s="38">
        <f>Lookup!A1784</f>
        <v>0</v>
      </c>
      <c r="B1784" s="39">
        <f>SUMIFS(ItemInvoiceTracker!C:C,ItemInvoiceTracker!E:E,Data!A1784)</f>
        <v>0</v>
      </c>
    </row>
    <row r="1785" spans="1:2" x14ac:dyDescent="0.3">
      <c r="A1785" s="38">
        <f>Lookup!A1785</f>
        <v>0</v>
      </c>
      <c r="B1785" s="39">
        <f>SUMIFS(ItemInvoiceTracker!C:C,ItemInvoiceTracker!E:E,Data!A1785)</f>
        <v>0</v>
      </c>
    </row>
    <row r="1786" spans="1:2" x14ac:dyDescent="0.3">
      <c r="A1786" s="38">
        <f>Lookup!A1786</f>
        <v>0</v>
      </c>
      <c r="B1786" s="39">
        <f>SUMIFS(ItemInvoiceTracker!C:C,ItemInvoiceTracker!E:E,Data!A1786)</f>
        <v>0</v>
      </c>
    </row>
    <row r="1787" spans="1:2" x14ac:dyDescent="0.3">
      <c r="A1787" s="38">
        <f>Lookup!A1787</f>
        <v>0</v>
      </c>
      <c r="B1787" s="39">
        <f>SUMIFS(ItemInvoiceTracker!C:C,ItemInvoiceTracker!E:E,Data!A1787)</f>
        <v>0</v>
      </c>
    </row>
    <row r="1788" spans="1:2" x14ac:dyDescent="0.3">
      <c r="A1788" s="38">
        <f>Lookup!A1788</f>
        <v>0</v>
      </c>
      <c r="B1788" s="39">
        <f>SUMIFS(ItemInvoiceTracker!C:C,ItemInvoiceTracker!E:E,Data!A1788)</f>
        <v>0</v>
      </c>
    </row>
    <row r="1789" spans="1:2" x14ac:dyDescent="0.3">
      <c r="A1789" s="38">
        <f>Lookup!A1789</f>
        <v>0</v>
      </c>
      <c r="B1789" s="39">
        <f>SUMIFS(ItemInvoiceTracker!C:C,ItemInvoiceTracker!E:E,Data!A1789)</f>
        <v>0</v>
      </c>
    </row>
    <row r="1790" spans="1:2" x14ac:dyDescent="0.3">
      <c r="A1790" s="38">
        <f>Lookup!A1790</f>
        <v>0</v>
      </c>
      <c r="B1790" s="39">
        <f>SUMIFS(ItemInvoiceTracker!C:C,ItemInvoiceTracker!E:E,Data!A1790)</f>
        <v>0</v>
      </c>
    </row>
    <row r="1791" spans="1:2" x14ac:dyDescent="0.3">
      <c r="A1791" s="38">
        <f>Lookup!A1791</f>
        <v>0</v>
      </c>
      <c r="B1791" s="39">
        <f>SUMIFS(ItemInvoiceTracker!C:C,ItemInvoiceTracker!E:E,Data!A1791)</f>
        <v>0</v>
      </c>
    </row>
    <row r="1792" spans="1:2" x14ac:dyDescent="0.3">
      <c r="A1792" s="38">
        <f>Lookup!A1792</f>
        <v>0</v>
      </c>
      <c r="B1792" s="39">
        <f>SUMIFS(ItemInvoiceTracker!C:C,ItemInvoiceTracker!E:E,Data!A1792)</f>
        <v>0</v>
      </c>
    </row>
    <row r="1793" spans="1:2" x14ac:dyDescent="0.3">
      <c r="A1793" s="38">
        <f>Lookup!A1793</f>
        <v>0</v>
      </c>
      <c r="B1793" s="39">
        <f>SUMIFS(ItemInvoiceTracker!C:C,ItemInvoiceTracker!E:E,Data!A1793)</f>
        <v>0</v>
      </c>
    </row>
    <row r="1794" spans="1:2" x14ac:dyDescent="0.3">
      <c r="A1794" s="38">
        <f>Lookup!A1794</f>
        <v>0</v>
      </c>
      <c r="B1794" s="39">
        <f>SUMIFS(ItemInvoiceTracker!C:C,ItemInvoiceTracker!E:E,Data!A1794)</f>
        <v>0</v>
      </c>
    </row>
    <row r="1795" spans="1:2" x14ac:dyDescent="0.3">
      <c r="A1795" s="38">
        <f>Lookup!A1795</f>
        <v>0</v>
      </c>
      <c r="B1795" s="39">
        <f>SUMIFS(ItemInvoiceTracker!C:C,ItemInvoiceTracker!E:E,Data!A1795)</f>
        <v>0</v>
      </c>
    </row>
    <row r="1796" spans="1:2" x14ac:dyDescent="0.3">
      <c r="A1796" s="38">
        <f>Lookup!A1796</f>
        <v>0</v>
      </c>
      <c r="B1796" s="39">
        <f>SUMIFS(ItemInvoiceTracker!C:C,ItemInvoiceTracker!E:E,Data!A1796)</f>
        <v>0</v>
      </c>
    </row>
    <row r="1797" spans="1:2" x14ac:dyDescent="0.3">
      <c r="A1797" s="38">
        <f>Lookup!A1797</f>
        <v>0</v>
      </c>
      <c r="B1797" s="39">
        <f>SUMIFS(ItemInvoiceTracker!C:C,ItemInvoiceTracker!E:E,Data!A1797)</f>
        <v>0</v>
      </c>
    </row>
    <row r="1798" spans="1:2" x14ac:dyDescent="0.3">
      <c r="A1798" s="38">
        <f>Lookup!A1798</f>
        <v>0</v>
      </c>
      <c r="B1798" s="39">
        <f>SUMIFS(ItemInvoiceTracker!C:C,ItemInvoiceTracker!E:E,Data!A1798)</f>
        <v>0</v>
      </c>
    </row>
    <row r="1799" spans="1:2" x14ac:dyDescent="0.3">
      <c r="A1799" s="38">
        <f>Lookup!A1799</f>
        <v>0</v>
      </c>
      <c r="B1799" s="39">
        <f>SUMIFS(ItemInvoiceTracker!C:C,ItemInvoiceTracker!E:E,Data!A1799)</f>
        <v>0</v>
      </c>
    </row>
    <row r="1800" spans="1:2" x14ac:dyDescent="0.3">
      <c r="A1800" s="38">
        <f>Lookup!A1800</f>
        <v>0</v>
      </c>
      <c r="B1800" s="39">
        <f>SUMIFS(ItemInvoiceTracker!C:C,ItemInvoiceTracker!E:E,Data!A1800)</f>
        <v>0</v>
      </c>
    </row>
    <row r="1801" spans="1:2" x14ac:dyDescent="0.3">
      <c r="A1801" s="38">
        <f>Lookup!A1801</f>
        <v>0</v>
      </c>
      <c r="B1801" s="39">
        <f>SUMIFS(ItemInvoiceTracker!C:C,ItemInvoiceTracker!E:E,Data!A1801)</f>
        <v>0</v>
      </c>
    </row>
    <row r="1802" spans="1:2" x14ac:dyDescent="0.3">
      <c r="A1802" s="38">
        <f>Lookup!A1802</f>
        <v>0</v>
      </c>
      <c r="B1802" s="39">
        <f>SUMIFS(ItemInvoiceTracker!C:C,ItemInvoiceTracker!E:E,Data!A1802)</f>
        <v>0</v>
      </c>
    </row>
    <row r="1803" spans="1:2" x14ac:dyDescent="0.3">
      <c r="A1803" s="38">
        <f>Lookup!A1803</f>
        <v>0</v>
      </c>
      <c r="B1803" s="39">
        <f>SUMIFS(ItemInvoiceTracker!C:C,ItemInvoiceTracker!E:E,Data!A1803)</f>
        <v>0</v>
      </c>
    </row>
    <row r="1804" spans="1:2" x14ac:dyDescent="0.3">
      <c r="A1804" s="38">
        <f>Lookup!A1804</f>
        <v>0</v>
      </c>
      <c r="B1804" s="39">
        <f>SUMIFS(ItemInvoiceTracker!C:C,ItemInvoiceTracker!E:E,Data!A1804)</f>
        <v>0</v>
      </c>
    </row>
    <row r="1805" spans="1:2" x14ac:dyDescent="0.3">
      <c r="A1805" s="38">
        <f>Lookup!A1805</f>
        <v>0</v>
      </c>
      <c r="B1805" s="39">
        <f>SUMIFS(ItemInvoiceTracker!C:C,ItemInvoiceTracker!E:E,Data!A1805)</f>
        <v>0</v>
      </c>
    </row>
    <row r="1806" spans="1:2" x14ac:dyDescent="0.3">
      <c r="A1806" s="38">
        <f>Lookup!A1806</f>
        <v>0</v>
      </c>
      <c r="B1806" s="39">
        <f>SUMIFS(ItemInvoiceTracker!C:C,ItemInvoiceTracker!E:E,Data!A1806)</f>
        <v>0</v>
      </c>
    </row>
    <row r="1807" spans="1:2" x14ac:dyDescent="0.3">
      <c r="A1807" s="38">
        <f>Lookup!A1807</f>
        <v>0</v>
      </c>
      <c r="B1807" s="39">
        <f>SUMIFS(ItemInvoiceTracker!C:C,ItemInvoiceTracker!E:E,Data!A1807)</f>
        <v>0</v>
      </c>
    </row>
    <row r="1808" spans="1:2" x14ac:dyDescent="0.3">
      <c r="A1808" s="38">
        <f>Lookup!A1808</f>
        <v>0</v>
      </c>
      <c r="B1808" s="39">
        <f>SUMIFS(ItemInvoiceTracker!C:C,ItemInvoiceTracker!E:E,Data!A1808)</f>
        <v>0</v>
      </c>
    </row>
    <row r="1809" spans="1:2" x14ac:dyDescent="0.3">
      <c r="A1809" s="38">
        <f>Lookup!A1809</f>
        <v>0</v>
      </c>
      <c r="B1809" s="39">
        <f>SUMIFS(ItemInvoiceTracker!C:C,ItemInvoiceTracker!E:E,Data!A1809)</f>
        <v>0</v>
      </c>
    </row>
    <row r="1810" spans="1:2" x14ac:dyDescent="0.3">
      <c r="A1810" s="38">
        <f>Lookup!A1810</f>
        <v>0</v>
      </c>
      <c r="B1810" s="39">
        <f>SUMIFS(ItemInvoiceTracker!C:C,ItemInvoiceTracker!E:E,Data!A1810)</f>
        <v>0</v>
      </c>
    </row>
    <row r="1811" spans="1:2" x14ac:dyDescent="0.3">
      <c r="A1811" s="38">
        <f>Lookup!A1811</f>
        <v>0</v>
      </c>
      <c r="B1811" s="39">
        <f>SUMIFS(ItemInvoiceTracker!C:C,ItemInvoiceTracker!E:E,Data!A1811)</f>
        <v>0</v>
      </c>
    </row>
    <row r="1812" spans="1:2" x14ac:dyDescent="0.3">
      <c r="A1812" s="38">
        <f>Lookup!A1812</f>
        <v>0</v>
      </c>
      <c r="B1812" s="39">
        <f>SUMIFS(ItemInvoiceTracker!C:C,ItemInvoiceTracker!E:E,Data!A1812)</f>
        <v>0</v>
      </c>
    </row>
    <row r="1813" spans="1:2" x14ac:dyDescent="0.3">
      <c r="A1813" s="38">
        <f>Lookup!A1813</f>
        <v>0</v>
      </c>
      <c r="B1813" s="39">
        <f>SUMIFS(ItemInvoiceTracker!C:C,ItemInvoiceTracker!E:E,Data!A1813)</f>
        <v>0</v>
      </c>
    </row>
    <row r="1814" spans="1:2" x14ac:dyDescent="0.3">
      <c r="A1814" s="38">
        <f>Lookup!A1814</f>
        <v>0</v>
      </c>
      <c r="B1814" s="39">
        <f>SUMIFS(ItemInvoiceTracker!C:C,ItemInvoiceTracker!E:E,Data!A1814)</f>
        <v>0</v>
      </c>
    </row>
    <row r="1815" spans="1:2" x14ac:dyDescent="0.3">
      <c r="A1815" s="38">
        <f>Lookup!A1815</f>
        <v>0</v>
      </c>
      <c r="B1815" s="39">
        <f>SUMIFS(ItemInvoiceTracker!C:C,ItemInvoiceTracker!E:E,Data!A1815)</f>
        <v>0</v>
      </c>
    </row>
    <row r="1816" spans="1:2" x14ac:dyDescent="0.3">
      <c r="A1816" s="38">
        <f>Lookup!A1816</f>
        <v>0</v>
      </c>
      <c r="B1816" s="39">
        <f>SUMIFS(ItemInvoiceTracker!C:C,ItemInvoiceTracker!E:E,Data!A1816)</f>
        <v>0</v>
      </c>
    </row>
    <row r="1817" spans="1:2" x14ac:dyDescent="0.3">
      <c r="A1817" s="38">
        <f>Lookup!A1817</f>
        <v>0</v>
      </c>
      <c r="B1817" s="39">
        <f>SUMIFS(ItemInvoiceTracker!C:C,ItemInvoiceTracker!E:E,Data!A1817)</f>
        <v>0</v>
      </c>
    </row>
    <row r="1818" spans="1:2" x14ac:dyDescent="0.3">
      <c r="A1818" s="38">
        <f>Lookup!A1818</f>
        <v>0</v>
      </c>
      <c r="B1818" s="39">
        <f>SUMIFS(ItemInvoiceTracker!C:C,ItemInvoiceTracker!E:E,Data!A1818)</f>
        <v>0</v>
      </c>
    </row>
    <row r="1819" spans="1:2" x14ac:dyDescent="0.3">
      <c r="A1819" s="38">
        <f>Lookup!A1819</f>
        <v>0</v>
      </c>
      <c r="B1819" s="39">
        <f>SUMIFS(ItemInvoiceTracker!C:C,ItemInvoiceTracker!E:E,Data!A1819)</f>
        <v>0</v>
      </c>
    </row>
    <row r="1820" spans="1:2" x14ac:dyDescent="0.3">
      <c r="A1820" s="38">
        <f>Lookup!A1820</f>
        <v>0</v>
      </c>
      <c r="B1820" s="39">
        <f>SUMIFS(ItemInvoiceTracker!C:C,ItemInvoiceTracker!E:E,Data!A1820)</f>
        <v>0</v>
      </c>
    </row>
    <row r="1821" spans="1:2" x14ac:dyDescent="0.3">
      <c r="A1821" s="38">
        <f>Lookup!A1821</f>
        <v>0</v>
      </c>
      <c r="B1821" s="39">
        <f>SUMIFS(ItemInvoiceTracker!C:C,ItemInvoiceTracker!E:E,Data!A1821)</f>
        <v>0</v>
      </c>
    </row>
    <row r="1822" spans="1:2" x14ac:dyDescent="0.3">
      <c r="A1822" s="38">
        <f>Lookup!A1822</f>
        <v>0</v>
      </c>
      <c r="B1822" s="39">
        <f>SUMIFS(ItemInvoiceTracker!C:C,ItemInvoiceTracker!E:E,Data!A1822)</f>
        <v>0</v>
      </c>
    </row>
    <row r="1823" spans="1:2" x14ac:dyDescent="0.3">
      <c r="A1823" s="38">
        <f>Lookup!A1823</f>
        <v>0</v>
      </c>
      <c r="B1823" s="39">
        <f>SUMIFS(ItemInvoiceTracker!C:C,ItemInvoiceTracker!E:E,Data!A1823)</f>
        <v>0</v>
      </c>
    </row>
    <row r="1824" spans="1:2" x14ac:dyDescent="0.3">
      <c r="A1824" s="38">
        <f>Lookup!A1824</f>
        <v>0</v>
      </c>
      <c r="B1824" s="39">
        <f>SUMIFS(ItemInvoiceTracker!C:C,ItemInvoiceTracker!E:E,Data!A1824)</f>
        <v>0</v>
      </c>
    </row>
    <row r="1825" spans="1:2" x14ac:dyDescent="0.3">
      <c r="A1825" s="38">
        <f>Lookup!A1825</f>
        <v>0</v>
      </c>
      <c r="B1825" s="39">
        <f>SUMIFS(ItemInvoiceTracker!C:C,ItemInvoiceTracker!E:E,Data!A1825)</f>
        <v>0</v>
      </c>
    </row>
    <row r="1826" spans="1:2" x14ac:dyDescent="0.3">
      <c r="A1826" s="38">
        <f>Lookup!A1826</f>
        <v>0</v>
      </c>
      <c r="B1826" s="39">
        <f>SUMIFS(ItemInvoiceTracker!C:C,ItemInvoiceTracker!E:E,Data!A1826)</f>
        <v>0</v>
      </c>
    </row>
    <row r="1827" spans="1:2" x14ac:dyDescent="0.3">
      <c r="A1827" s="38">
        <f>Lookup!A1827</f>
        <v>0</v>
      </c>
      <c r="B1827" s="39">
        <f>SUMIFS(ItemInvoiceTracker!C:C,ItemInvoiceTracker!E:E,Data!A1827)</f>
        <v>0</v>
      </c>
    </row>
    <row r="1828" spans="1:2" x14ac:dyDescent="0.3">
      <c r="A1828" s="38">
        <f>Lookup!A1828</f>
        <v>0</v>
      </c>
      <c r="B1828" s="39">
        <f>SUMIFS(ItemInvoiceTracker!C:C,ItemInvoiceTracker!E:E,Data!A1828)</f>
        <v>0</v>
      </c>
    </row>
    <row r="1829" spans="1:2" x14ac:dyDescent="0.3">
      <c r="A1829" s="38">
        <f>Lookup!A1829</f>
        <v>0</v>
      </c>
      <c r="B1829" s="39">
        <f>SUMIFS(ItemInvoiceTracker!C:C,ItemInvoiceTracker!E:E,Data!A1829)</f>
        <v>0</v>
      </c>
    </row>
    <row r="1830" spans="1:2" x14ac:dyDescent="0.3">
      <c r="A1830" s="38">
        <f>Lookup!A1830</f>
        <v>0</v>
      </c>
      <c r="B1830" s="39">
        <f>SUMIFS(ItemInvoiceTracker!C:C,ItemInvoiceTracker!E:E,Data!A1830)</f>
        <v>0</v>
      </c>
    </row>
    <row r="1831" spans="1:2" x14ac:dyDescent="0.3">
      <c r="A1831" s="38">
        <f>Lookup!A1831</f>
        <v>0</v>
      </c>
      <c r="B1831" s="39">
        <f>SUMIFS(ItemInvoiceTracker!C:C,ItemInvoiceTracker!E:E,Data!A1831)</f>
        <v>0</v>
      </c>
    </row>
    <row r="1832" spans="1:2" x14ac:dyDescent="0.3">
      <c r="A1832" s="38">
        <f>Lookup!A1832</f>
        <v>0</v>
      </c>
      <c r="B1832" s="39">
        <f>SUMIFS(ItemInvoiceTracker!C:C,ItemInvoiceTracker!E:E,Data!A1832)</f>
        <v>0</v>
      </c>
    </row>
    <row r="1833" spans="1:2" x14ac:dyDescent="0.3">
      <c r="A1833" s="38">
        <f>Lookup!A1833</f>
        <v>0</v>
      </c>
      <c r="B1833" s="39">
        <f>SUMIFS(ItemInvoiceTracker!C:C,ItemInvoiceTracker!E:E,Data!A1833)</f>
        <v>0</v>
      </c>
    </row>
    <row r="1834" spans="1:2" x14ac:dyDescent="0.3">
      <c r="A1834" s="38">
        <f>Lookup!A1834</f>
        <v>0</v>
      </c>
      <c r="B1834" s="39">
        <f>SUMIFS(ItemInvoiceTracker!C:C,ItemInvoiceTracker!E:E,Data!A1834)</f>
        <v>0</v>
      </c>
    </row>
    <row r="1835" spans="1:2" x14ac:dyDescent="0.3">
      <c r="A1835" s="38">
        <f>Lookup!A1835</f>
        <v>0</v>
      </c>
      <c r="B1835" s="39">
        <f>SUMIFS(ItemInvoiceTracker!C:C,ItemInvoiceTracker!E:E,Data!A1835)</f>
        <v>0</v>
      </c>
    </row>
    <row r="1836" spans="1:2" x14ac:dyDescent="0.3">
      <c r="A1836" s="38">
        <f>Lookup!A1836</f>
        <v>0</v>
      </c>
      <c r="B1836" s="39">
        <f>SUMIFS(ItemInvoiceTracker!C:C,ItemInvoiceTracker!E:E,Data!A1836)</f>
        <v>0</v>
      </c>
    </row>
    <row r="1837" spans="1:2" x14ac:dyDescent="0.3">
      <c r="A1837" s="38">
        <f>Lookup!A1837</f>
        <v>0</v>
      </c>
      <c r="B1837" s="39">
        <f>SUMIFS(ItemInvoiceTracker!C:C,ItemInvoiceTracker!E:E,Data!A1837)</f>
        <v>0</v>
      </c>
    </row>
    <row r="1838" spans="1:2" x14ac:dyDescent="0.3">
      <c r="A1838" s="38">
        <f>Lookup!A1838</f>
        <v>0</v>
      </c>
      <c r="B1838" s="39">
        <f>SUMIFS(ItemInvoiceTracker!C:C,ItemInvoiceTracker!E:E,Data!A1838)</f>
        <v>0</v>
      </c>
    </row>
    <row r="1839" spans="1:2" x14ac:dyDescent="0.3">
      <c r="A1839" s="38">
        <f>Lookup!A1839</f>
        <v>0</v>
      </c>
      <c r="B1839" s="39">
        <f>SUMIFS(ItemInvoiceTracker!C:C,ItemInvoiceTracker!E:E,Data!A1839)</f>
        <v>0</v>
      </c>
    </row>
    <row r="1840" spans="1:2" x14ac:dyDescent="0.3">
      <c r="A1840" s="38">
        <f>Lookup!A1840</f>
        <v>0</v>
      </c>
      <c r="B1840" s="39">
        <f>SUMIFS(ItemInvoiceTracker!C:C,ItemInvoiceTracker!E:E,Data!A1840)</f>
        <v>0</v>
      </c>
    </row>
    <row r="1841" spans="1:2" x14ac:dyDescent="0.3">
      <c r="A1841" s="38">
        <f>Lookup!A1841</f>
        <v>0</v>
      </c>
      <c r="B1841" s="39">
        <f>SUMIFS(ItemInvoiceTracker!C:C,ItemInvoiceTracker!E:E,Data!A1841)</f>
        <v>0</v>
      </c>
    </row>
    <row r="1842" spans="1:2" x14ac:dyDescent="0.3">
      <c r="A1842" s="38">
        <f>Lookup!A1842</f>
        <v>0</v>
      </c>
      <c r="B1842" s="39">
        <f>SUMIFS(ItemInvoiceTracker!C:C,ItemInvoiceTracker!E:E,Data!A1842)</f>
        <v>0</v>
      </c>
    </row>
    <row r="1843" spans="1:2" x14ac:dyDescent="0.3">
      <c r="A1843" s="38">
        <f>Lookup!A1843</f>
        <v>0</v>
      </c>
      <c r="B1843" s="39">
        <f>SUMIFS(ItemInvoiceTracker!C:C,ItemInvoiceTracker!E:E,Data!A1843)</f>
        <v>0</v>
      </c>
    </row>
    <row r="1844" spans="1:2" x14ac:dyDescent="0.3">
      <c r="A1844" s="38">
        <f>Lookup!A1844</f>
        <v>0</v>
      </c>
      <c r="B1844" s="39">
        <f>SUMIFS(ItemInvoiceTracker!C:C,ItemInvoiceTracker!E:E,Data!A1844)</f>
        <v>0</v>
      </c>
    </row>
    <row r="1845" spans="1:2" x14ac:dyDescent="0.3">
      <c r="A1845" s="38">
        <f>Lookup!A1845</f>
        <v>0</v>
      </c>
      <c r="B1845" s="39">
        <f>SUMIFS(ItemInvoiceTracker!C:C,ItemInvoiceTracker!E:E,Data!A1845)</f>
        <v>0</v>
      </c>
    </row>
    <row r="1846" spans="1:2" x14ac:dyDescent="0.3">
      <c r="A1846" s="38">
        <f>Lookup!A1846</f>
        <v>0</v>
      </c>
      <c r="B1846" s="39">
        <f>SUMIFS(ItemInvoiceTracker!C:C,ItemInvoiceTracker!E:E,Data!A1846)</f>
        <v>0</v>
      </c>
    </row>
    <row r="1847" spans="1:2" x14ac:dyDescent="0.3">
      <c r="A1847" s="38">
        <f>Lookup!A1847</f>
        <v>0</v>
      </c>
      <c r="B1847" s="39">
        <f>SUMIFS(ItemInvoiceTracker!C:C,ItemInvoiceTracker!E:E,Data!A1847)</f>
        <v>0</v>
      </c>
    </row>
    <row r="1848" spans="1:2" x14ac:dyDescent="0.3">
      <c r="A1848" s="38">
        <f>Lookup!A1848</f>
        <v>0</v>
      </c>
      <c r="B1848" s="39">
        <f>SUMIFS(ItemInvoiceTracker!C:C,ItemInvoiceTracker!E:E,Data!A1848)</f>
        <v>0</v>
      </c>
    </row>
    <row r="1849" spans="1:2" x14ac:dyDescent="0.3">
      <c r="A1849" s="38">
        <f>Lookup!A1849</f>
        <v>0</v>
      </c>
      <c r="B1849" s="39">
        <f>SUMIFS(ItemInvoiceTracker!C:C,ItemInvoiceTracker!E:E,Data!A1849)</f>
        <v>0</v>
      </c>
    </row>
    <row r="1850" spans="1:2" x14ac:dyDescent="0.3">
      <c r="A1850" s="38">
        <f>Lookup!A1850</f>
        <v>0</v>
      </c>
      <c r="B1850" s="39">
        <f>SUMIFS(ItemInvoiceTracker!C:C,ItemInvoiceTracker!E:E,Data!A1850)</f>
        <v>0</v>
      </c>
    </row>
    <row r="1851" spans="1:2" x14ac:dyDescent="0.3">
      <c r="A1851" s="38">
        <f>Lookup!A1851</f>
        <v>0</v>
      </c>
      <c r="B1851" s="39">
        <f>SUMIFS(ItemInvoiceTracker!C:C,ItemInvoiceTracker!E:E,Data!A1851)</f>
        <v>0</v>
      </c>
    </row>
    <row r="1852" spans="1:2" x14ac:dyDescent="0.3">
      <c r="A1852" s="38">
        <f>Lookup!A1852</f>
        <v>0</v>
      </c>
      <c r="B1852" s="39">
        <f>SUMIFS(ItemInvoiceTracker!C:C,ItemInvoiceTracker!E:E,Data!A1852)</f>
        <v>0</v>
      </c>
    </row>
    <row r="1853" spans="1:2" x14ac:dyDescent="0.3">
      <c r="A1853" s="38">
        <f>Lookup!A1853</f>
        <v>0</v>
      </c>
      <c r="B1853" s="39">
        <f>SUMIFS(ItemInvoiceTracker!C:C,ItemInvoiceTracker!E:E,Data!A1853)</f>
        <v>0</v>
      </c>
    </row>
    <row r="1854" spans="1:2" x14ac:dyDescent="0.3">
      <c r="A1854" s="38">
        <f>Lookup!A1854</f>
        <v>0</v>
      </c>
      <c r="B1854" s="39">
        <f>SUMIFS(ItemInvoiceTracker!C:C,ItemInvoiceTracker!E:E,Data!A1854)</f>
        <v>0</v>
      </c>
    </row>
    <row r="1855" spans="1:2" x14ac:dyDescent="0.3">
      <c r="A1855" s="38">
        <f>Lookup!A1855</f>
        <v>0</v>
      </c>
      <c r="B1855" s="39">
        <f>SUMIFS(ItemInvoiceTracker!C:C,ItemInvoiceTracker!E:E,Data!A1855)</f>
        <v>0</v>
      </c>
    </row>
    <row r="1856" spans="1:2" x14ac:dyDescent="0.3">
      <c r="A1856" s="38">
        <f>Lookup!A1856</f>
        <v>0</v>
      </c>
      <c r="B1856" s="39">
        <f>SUMIFS(ItemInvoiceTracker!C:C,ItemInvoiceTracker!E:E,Data!A1856)</f>
        <v>0</v>
      </c>
    </row>
    <row r="1857" spans="1:2" x14ac:dyDescent="0.3">
      <c r="A1857" s="38">
        <f>Lookup!A1857</f>
        <v>0</v>
      </c>
      <c r="B1857" s="39">
        <f>SUMIFS(ItemInvoiceTracker!C:C,ItemInvoiceTracker!E:E,Data!A1857)</f>
        <v>0</v>
      </c>
    </row>
    <row r="1858" spans="1:2" x14ac:dyDescent="0.3">
      <c r="A1858" s="38">
        <f>Lookup!A1858</f>
        <v>0</v>
      </c>
      <c r="B1858" s="39">
        <f>SUMIFS(ItemInvoiceTracker!C:C,ItemInvoiceTracker!E:E,Data!A1858)</f>
        <v>0</v>
      </c>
    </row>
    <row r="1859" spans="1:2" x14ac:dyDescent="0.3">
      <c r="A1859" s="38">
        <f>Lookup!A1859</f>
        <v>0</v>
      </c>
      <c r="B1859" s="39">
        <f>SUMIFS(ItemInvoiceTracker!C:C,ItemInvoiceTracker!E:E,Data!A1859)</f>
        <v>0</v>
      </c>
    </row>
    <row r="1860" spans="1:2" x14ac:dyDescent="0.3">
      <c r="A1860" s="38">
        <f>Lookup!A1860</f>
        <v>0</v>
      </c>
      <c r="B1860" s="39">
        <f>SUMIFS(ItemInvoiceTracker!C:C,ItemInvoiceTracker!E:E,Data!A1860)</f>
        <v>0</v>
      </c>
    </row>
  </sheetData>
  <sheetProtection sheet="1" objects="1" scenarios="1"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"/>
  <sheetViews>
    <sheetView workbookViewId="0">
      <selection activeCell="J8" sqref="J8"/>
    </sheetView>
  </sheetViews>
  <sheetFormatPr defaultRowHeight="14.4" x14ac:dyDescent="0.3"/>
  <cols>
    <col min="1" max="2" width="8.88671875" style="2"/>
    <col min="3" max="16384" width="8.88671875" style="1"/>
  </cols>
  <sheetData>
    <row r="1" spans="1:2" ht="46.8" customHeight="1" x14ac:dyDescent="0.3">
      <c r="A1" s="15"/>
      <c r="B1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carry">
                <anchor moveWithCells="1" sizeWithCells="1">
                  <from>
                    <xdr:col>2</xdr:col>
                    <xdr:colOff>342900</xdr:colOff>
                    <xdr:row>0</xdr:row>
                    <xdr:rowOff>53340</xdr:rowOff>
                  </from>
                  <to>
                    <xdr:col>6</xdr:col>
                    <xdr:colOff>167640</xdr:colOff>
                    <xdr:row>0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G11"/>
  <sheetViews>
    <sheetView workbookViewId="0">
      <selection activeCell="F13" sqref="F13"/>
    </sheetView>
  </sheetViews>
  <sheetFormatPr defaultRowHeight="14.4" x14ac:dyDescent="0.3"/>
  <cols>
    <col min="1" max="1" width="8.88671875" style="13"/>
    <col min="2" max="2" width="16.33203125" style="16" customWidth="1"/>
    <col min="3" max="3" width="18" style="13" bestFit="1" customWidth="1"/>
    <col min="4" max="4" width="20.5546875" style="13" bestFit="1" customWidth="1"/>
    <col min="5" max="5" width="19.6640625" style="13" bestFit="1" customWidth="1"/>
    <col min="6" max="6" width="16.109375" style="13" bestFit="1" customWidth="1"/>
    <col min="7" max="7" width="10.6640625" style="13" bestFit="1" customWidth="1"/>
    <col min="8" max="16384" width="8.88671875" style="1"/>
  </cols>
  <sheetData>
    <row r="1" spans="1:7" ht="21.6" customHeight="1" x14ac:dyDescent="0.3">
      <c r="A1" s="17" t="s">
        <v>1</v>
      </c>
      <c r="B1" s="18" t="s">
        <v>2</v>
      </c>
      <c r="C1" s="19" t="s">
        <v>3</v>
      </c>
      <c r="D1" s="19" t="s">
        <v>4</v>
      </c>
      <c r="E1" s="20" t="s">
        <v>5</v>
      </c>
      <c r="F1" s="20" t="s">
        <v>6</v>
      </c>
      <c r="G1" s="17" t="s">
        <v>452</v>
      </c>
    </row>
    <row r="2" spans="1:7" x14ac:dyDescent="0.3">
      <c r="A2" s="21" t="s">
        <v>7</v>
      </c>
      <c r="B2" s="22"/>
      <c r="C2" s="21"/>
      <c r="D2" s="21"/>
      <c r="E2" s="23"/>
      <c r="F2" s="24"/>
      <c r="G2" s="21"/>
    </row>
    <row r="11" spans="1:7" x14ac:dyDescent="0.3">
      <c r="B11" s="13"/>
      <c r="G11" s="1"/>
    </row>
  </sheetData>
  <sheetProtection sheet="1" objects="1" scenarios="1"/>
  <dataValidations count="4">
    <dataValidation allowBlank="1" showInputMessage="1" showErrorMessage="1" prompt="Enter Amount in this column under this heading" sqref="F1" xr:uid="{00000000-0002-0000-0300-000000000000}"/>
    <dataValidation allowBlank="1" showInputMessage="1" showErrorMessage="1" prompt="Enter Customer Name in this column under this heading" sqref="C1:E1" xr:uid="{00000000-0002-0000-0300-000001000000}"/>
    <dataValidation allowBlank="1" showInputMessage="1" showErrorMessage="1" prompt="Enter Date in this column under this heading" sqref="B1" xr:uid="{00000000-0002-0000-0300-000002000000}"/>
    <dataValidation allowBlank="1" showInputMessage="1" showErrorMessage="1" prompt="Enter Invoice number in this column under this heading. Use heading filters to find specific enteries" sqref="A1" xr:uid="{00000000-0002-0000-0300-000003000000}"/>
  </dataValidations>
  <pageMargins left="0.7" right="0.7" top="0.75" bottom="0.75" header="0.3" footer="0.3"/>
  <pageSetup paperSize="123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172"/>
  <sheetViews>
    <sheetView workbookViewId="0">
      <selection activeCell="H15" sqref="H15"/>
    </sheetView>
  </sheetViews>
  <sheetFormatPr defaultRowHeight="14.4" x14ac:dyDescent="0.3"/>
  <cols>
    <col min="1" max="1" width="14.5546875" style="13" customWidth="1"/>
    <col min="2" max="2" width="16.109375" style="13" customWidth="1"/>
    <col min="3" max="3" width="14.44140625" style="13" bestFit="1" customWidth="1"/>
    <col min="4" max="4" width="17.6640625" style="14" customWidth="1"/>
    <col min="5" max="5" width="12.33203125" style="13" bestFit="1" customWidth="1"/>
    <col min="6" max="16384" width="8.88671875" style="1"/>
  </cols>
  <sheetData>
    <row r="1" spans="1:5" ht="22.5" customHeight="1" x14ac:dyDescent="0.35">
      <c r="A1" s="27" t="s">
        <v>149</v>
      </c>
      <c r="B1" s="27" t="s">
        <v>150</v>
      </c>
      <c r="C1" s="27" t="s">
        <v>151</v>
      </c>
      <c r="D1" s="28" t="s">
        <v>9</v>
      </c>
      <c r="E1" s="27" t="s">
        <v>8</v>
      </c>
    </row>
    <row r="2" spans="1:5" ht="18" x14ac:dyDescent="0.35">
      <c r="A2" s="29" t="s">
        <v>7</v>
      </c>
      <c r="B2" s="29"/>
      <c r="C2" s="29"/>
      <c r="D2" s="30"/>
      <c r="E2" s="31"/>
    </row>
    <row r="3" spans="1:5" ht="18" x14ac:dyDescent="0.35">
      <c r="A3" s="25"/>
      <c r="B3" s="25"/>
      <c r="C3" s="25"/>
      <c r="D3" s="26"/>
    </row>
    <row r="4" spans="1:5" ht="18" x14ac:dyDescent="0.35">
      <c r="A4" s="25"/>
      <c r="B4" s="25"/>
      <c r="C4" s="25"/>
      <c r="D4" s="26"/>
    </row>
    <row r="5" spans="1:5" ht="18" x14ac:dyDescent="0.35">
      <c r="A5" s="25"/>
      <c r="B5" s="25"/>
      <c r="C5" s="25"/>
      <c r="D5" s="26"/>
    </row>
    <row r="6" spans="1:5" ht="18" x14ac:dyDescent="0.35">
      <c r="A6" s="25"/>
      <c r="B6" s="25"/>
      <c r="C6" s="25"/>
      <c r="D6" s="26"/>
    </row>
    <row r="7" spans="1:5" ht="18" x14ac:dyDescent="0.35">
      <c r="A7" s="25"/>
      <c r="B7" s="25"/>
      <c r="C7" s="25"/>
      <c r="D7" s="26"/>
    </row>
    <row r="8" spans="1:5" ht="18" x14ac:dyDescent="0.35">
      <c r="A8" s="25"/>
      <c r="B8" s="25"/>
      <c r="C8" s="25"/>
      <c r="D8" s="26"/>
    </row>
    <row r="9" spans="1:5" ht="18" x14ac:dyDescent="0.35">
      <c r="A9" s="25"/>
      <c r="B9" s="25"/>
      <c r="C9" s="25"/>
      <c r="D9" s="26"/>
    </row>
    <row r="10" spans="1:5" ht="18" x14ac:dyDescent="0.35">
      <c r="A10" s="25"/>
      <c r="B10" s="25"/>
      <c r="C10" s="25"/>
      <c r="D10" s="26"/>
    </row>
    <row r="11" spans="1:5" ht="18" x14ac:dyDescent="0.35">
      <c r="A11" s="25"/>
      <c r="B11" s="25"/>
      <c r="C11" s="25"/>
      <c r="D11" s="26"/>
    </row>
    <row r="12" spans="1:5" ht="18" x14ac:dyDescent="0.35">
      <c r="A12" s="25"/>
      <c r="B12" s="25"/>
      <c r="C12" s="25"/>
      <c r="D12" s="26"/>
    </row>
    <row r="13" spans="1:5" ht="18" x14ac:dyDescent="0.35">
      <c r="A13" s="25"/>
      <c r="B13" s="25"/>
      <c r="C13" s="25"/>
      <c r="D13" s="26"/>
    </row>
    <row r="14" spans="1:5" ht="18" x14ac:dyDescent="0.35">
      <c r="A14" s="25"/>
      <c r="B14" s="25"/>
      <c r="C14" s="25"/>
      <c r="D14" s="26"/>
    </row>
    <row r="15" spans="1:5" ht="18" x14ac:dyDescent="0.35">
      <c r="A15" s="25"/>
      <c r="B15" s="25"/>
      <c r="C15" s="25"/>
      <c r="D15" s="26"/>
    </row>
    <row r="16" spans="1:5" ht="18" x14ac:dyDescent="0.35">
      <c r="A16" s="25"/>
      <c r="B16" s="25"/>
      <c r="C16" s="25"/>
      <c r="D16" s="26"/>
    </row>
    <row r="17" spans="1:4" ht="18" x14ac:dyDescent="0.35">
      <c r="A17" s="25"/>
      <c r="B17" s="25"/>
      <c r="C17" s="25"/>
      <c r="D17" s="26"/>
    </row>
    <row r="18" spans="1:4" ht="18" x14ac:dyDescent="0.35">
      <c r="A18" s="25"/>
      <c r="B18" s="25"/>
      <c r="C18" s="25"/>
      <c r="D18" s="26"/>
    </row>
    <row r="19" spans="1:4" ht="18" x14ac:dyDescent="0.35">
      <c r="A19" s="25"/>
      <c r="B19" s="25"/>
      <c r="C19" s="25"/>
      <c r="D19" s="26"/>
    </row>
    <row r="20" spans="1:4" ht="18" x14ac:dyDescent="0.35">
      <c r="A20" s="25"/>
      <c r="B20" s="25"/>
      <c r="C20" s="25"/>
      <c r="D20" s="26"/>
    </row>
    <row r="21" spans="1:4" ht="18" x14ac:dyDescent="0.35">
      <c r="A21" s="25"/>
      <c r="B21" s="25"/>
      <c r="C21" s="25"/>
      <c r="D21" s="26"/>
    </row>
    <row r="22" spans="1:4" ht="18" x14ac:dyDescent="0.35">
      <c r="A22" s="25"/>
      <c r="B22" s="25"/>
      <c r="C22" s="25"/>
      <c r="D22" s="26"/>
    </row>
    <row r="23" spans="1:4" ht="18" x14ac:dyDescent="0.35">
      <c r="A23" s="25"/>
      <c r="B23" s="25"/>
      <c r="C23" s="25"/>
      <c r="D23" s="26"/>
    </row>
    <row r="24" spans="1:4" ht="18" x14ac:dyDescent="0.35">
      <c r="A24" s="25"/>
      <c r="B24" s="25"/>
      <c r="C24" s="25"/>
      <c r="D24" s="26"/>
    </row>
    <row r="25" spans="1:4" ht="18" x14ac:dyDescent="0.35">
      <c r="A25" s="25"/>
      <c r="B25" s="25"/>
      <c r="C25" s="25"/>
      <c r="D25" s="26"/>
    </row>
    <row r="26" spans="1:4" ht="18" x14ac:dyDescent="0.35">
      <c r="A26" s="25"/>
      <c r="B26" s="25"/>
      <c r="C26" s="25"/>
      <c r="D26" s="26"/>
    </row>
    <row r="27" spans="1:4" ht="18" x14ac:dyDescent="0.35">
      <c r="A27" s="25"/>
      <c r="B27" s="25"/>
      <c r="C27" s="25"/>
      <c r="D27" s="26"/>
    </row>
    <row r="28" spans="1:4" ht="18" x14ac:dyDescent="0.35">
      <c r="A28" s="25"/>
      <c r="B28" s="25"/>
      <c r="C28" s="25"/>
      <c r="D28" s="26"/>
    </row>
    <row r="29" spans="1:4" ht="18" x14ac:dyDescent="0.35">
      <c r="A29" s="25"/>
      <c r="B29" s="25"/>
      <c r="C29" s="25"/>
      <c r="D29" s="26"/>
    </row>
    <row r="30" spans="1:4" ht="18" x14ac:dyDescent="0.35">
      <c r="A30" s="25"/>
      <c r="B30" s="25"/>
      <c r="C30" s="25"/>
      <c r="D30" s="26"/>
    </row>
    <row r="31" spans="1:4" ht="18" x14ac:dyDescent="0.35">
      <c r="A31" s="25"/>
      <c r="B31" s="25"/>
      <c r="C31" s="25"/>
      <c r="D31" s="26"/>
    </row>
    <row r="32" spans="1:4" ht="18" x14ac:dyDescent="0.35">
      <c r="A32" s="25"/>
      <c r="B32" s="25"/>
      <c r="C32" s="25"/>
      <c r="D32" s="26"/>
    </row>
    <row r="33" spans="1:4" ht="18" x14ac:dyDescent="0.35">
      <c r="A33" s="25"/>
      <c r="B33" s="25"/>
      <c r="C33" s="25"/>
      <c r="D33" s="26"/>
    </row>
    <row r="34" spans="1:4" ht="18" x14ac:dyDescent="0.35">
      <c r="A34" s="25"/>
      <c r="B34" s="25"/>
      <c r="C34" s="25"/>
      <c r="D34" s="26"/>
    </row>
    <row r="35" spans="1:4" ht="18" x14ac:dyDescent="0.35">
      <c r="A35" s="25"/>
      <c r="B35" s="25"/>
      <c r="C35" s="25"/>
      <c r="D35" s="26"/>
    </row>
    <row r="36" spans="1:4" ht="18" x14ac:dyDescent="0.35">
      <c r="A36" s="25"/>
      <c r="B36" s="25"/>
      <c r="C36" s="25"/>
      <c r="D36" s="26"/>
    </row>
    <row r="37" spans="1:4" ht="18" x14ac:dyDescent="0.35">
      <c r="A37" s="25"/>
      <c r="B37" s="25"/>
      <c r="C37" s="25"/>
      <c r="D37" s="26"/>
    </row>
    <row r="38" spans="1:4" ht="18" x14ac:dyDescent="0.35">
      <c r="A38" s="25"/>
      <c r="B38" s="25"/>
      <c r="C38" s="25"/>
      <c r="D38" s="26"/>
    </row>
    <row r="39" spans="1:4" ht="18" x14ac:dyDescent="0.35">
      <c r="A39" s="25"/>
      <c r="B39" s="25"/>
      <c r="C39" s="25"/>
      <c r="D39" s="26"/>
    </row>
    <row r="40" spans="1:4" ht="18" x14ac:dyDescent="0.35">
      <c r="A40" s="25"/>
      <c r="B40" s="25"/>
      <c r="C40" s="25"/>
      <c r="D40" s="26"/>
    </row>
    <row r="41" spans="1:4" ht="18" x14ac:dyDescent="0.35">
      <c r="A41" s="25"/>
      <c r="B41" s="25"/>
      <c r="C41" s="25"/>
      <c r="D41" s="26"/>
    </row>
    <row r="42" spans="1:4" ht="18" x14ac:dyDescent="0.35">
      <c r="A42" s="25"/>
      <c r="B42" s="25"/>
      <c r="C42" s="25"/>
      <c r="D42" s="26"/>
    </row>
    <row r="43" spans="1:4" ht="18" x14ac:dyDescent="0.35">
      <c r="A43" s="25"/>
      <c r="B43" s="25"/>
      <c r="C43" s="25"/>
      <c r="D43" s="26"/>
    </row>
    <row r="44" spans="1:4" ht="18" x14ac:dyDescent="0.35">
      <c r="A44" s="25"/>
      <c r="B44" s="25"/>
      <c r="C44" s="25"/>
      <c r="D44" s="26"/>
    </row>
    <row r="45" spans="1:4" ht="18" x14ac:dyDescent="0.35">
      <c r="A45" s="25"/>
      <c r="B45" s="25"/>
      <c r="C45" s="25"/>
      <c r="D45" s="26"/>
    </row>
    <row r="46" spans="1:4" ht="18" x14ac:dyDescent="0.35">
      <c r="A46" s="25"/>
      <c r="B46" s="25"/>
      <c r="C46" s="25"/>
      <c r="D46" s="26"/>
    </row>
    <row r="47" spans="1:4" ht="18" x14ac:dyDescent="0.35">
      <c r="A47" s="25"/>
      <c r="B47" s="25"/>
      <c r="C47" s="25"/>
      <c r="D47" s="26"/>
    </row>
    <row r="48" spans="1:4" ht="18" x14ac:dyDescent="0.35">
      <c r="A48" s="25"/>
      <c r="B48" s="25"/>
      <c r="C48" s="25"/>
      <c r="D48" s="26"/>
    </row>
    <row r="49" spans="1:4" ht="18" x14ac:dyDescent="0.35">
      <c r="A49" s="25"/>
      <c r="B49" s="25"/>
      <c r="C49" s="25"/>
      <c r="D49" s="26"/>
    </row>
    <row r="50" spans="1:4" ht="18" x14ac:dyDescent="0.35">
      <c r="A50" s="25"/>
      <c r="B50" s="25"/>
      <c r="C50" s="25"/>
      <c r="D50" s="26"/>
    </row>
    <row r="51" spans="1:4" ht="18" x14ac:dyDescent="0.35">
      <c r="A51" s="25"/>
      <c r="B51" s="25"/>
      <c r="C51" s="25"/>
      <c r="D51" s="26"/>
    </row>
    <row r="52" spans="1:4" ht="18" x14ac:dyDescent="0.35">
      <c r="A52" s="25"/>
      <c r="B52" s="25"/>
      <c r="C52" s="25"/>
      <c r="D52" s="26"/>
    </row>
    <row r="53" spans="1:4" ht="18" x14ac:dyDescent="0.35">
      <c r="A53" s="25"/>
      <c r="B53" s="25"/>
      <c r="C53" s="25"/>
      <c r="D53" s="26"/>
    </row>
    <row r="54" spans="1:4" ht="18" x14ac:dyDescent="0.35">
      <c r="A54" s="25"/>
      <c r="B54" s="25"/>
      <c r="C54" s="25"/>
      <c r="D54" s="26"/>
    </row>
    <row r="55" spans="1:4" ht="18" x14ac:dyDescent="0.35">
      <c r="A55" s="25"/>
      <c r="B55" s="25"/>
      <c r="C55" s="25"/>
      <c r="D55" s="26"/>
    </row>
    <row r="56" spans="1:4" ht="18" x14ac:dyDescent="0.35">
      <c r="A56" s="25"/>
      <c r="B56" s="25"/>
      <c r="C56" s="25"/>
      <c r="D56" s="26"/>
    </row>
    <row r="57" spans="1:4" ht="18" x14ac:dyDescent="0.35">
      <c r="A57" s="25"/>
      <c r="B57" s="25"/>
      <c r="C57" s="25"/>
      <c r="D57" s="26"/>
    </row>
    <row r="58" spans="1:4" ht="18" x14ac:dyDescent="0.35">
      <c r="A58" s="25"/>
      <c r="B58" s="25"/>
      <c r="C58" s="25"/>
      <c r="D58" s="26"/>
    </row>
    <row r="59" spans="1:4" ht="18" x14ac:dyDescent="0.35">
      <c r="A59" s="25"/>
      <c r="B59" s="25"/>
      <c r="C59" s="25"/>
      <c r="D59" s="26"/>
    </row>
    <row r="60" spans="1:4" ht="18" x14ac:dyDescent="0.35">
      <c r="A60" s="25"/>
      <c r="B60" s="25"/>
      <c r="C60" s="25"/>
      <c r="D60" s="26"/>
    </row>
    <row r="61" spans="1:4" ht="18" x14ac:dyDescent="0.35">
      <c r="A61" s="25"/>
      <c r="B61" s="25"/>
      <c r="C61" s="25"/>
      <c r="D61" s="26"/>
    </row>
    <row r="62" spans="1:4" ht="18" x14ac:dyDescent="0.35">
      <c r="A62" s="25"/>
      <c r="B62" s="25"/>
      <c r="C62" s="25"/>
      <c r="D62" s="26"/>
    </row>
    <row r="63" spans="1:4" ht="18" x14ac:dyDescent="0.35">
      <c r="A63" s="25"/>
      <c r="B63" s="25"/>
      <c r="C63" s="25"/>
      <c r="D63" s="26"/>
    </row>
    <row r="64" spans="1:4" ht="18" x14ac:dyDescent="0.35">
      <c r="A64" s="25"/>
      <c r="B64" s="25"/>
      <c r="C64" s="25"/>
      <c r="D64" s="26"/>
    </row>
    <row r="65" spans="1:4" ht="18" x14ac:dyDescent="0.35">
      <c r="A65" s="25"/>
      <c r="B65" s="25"/>
      <c r="C65" s="25"/>
      <c r="D65" s="26"/>
    </row>
    <row r="66" spans="1:4" ht="18" x14ac:dyDescent="0.35">
      <c r="A66" s="25"/>
      <c r="B66" s="25"/>
      <c r="C66" s="25"/>
      <c r="D66" s="26"/>
    </row>
    <row r="67" spans="1:4" ht="18" x14ac:dyDescent="0.35">
      <c r="A67" s="25"/>
      <c r="B67" s="25"/>
      <c r="C67" s="25"/>
      <c r="D67" s="26"/>
    </row>
    <row r="68" spans="1:4" ht="18" x14ac:dyDescent="0.35">
      <c r="A68" s="25"/>
      <c r="B68" s="25"/>
      <c r="C68" s="25"/>
      <c r="D68" s="26"/>
    </row>
    <row r="69" spans="1:4" ht="18" x14ac:dyDescent="0.35">
      <c r="A69" s="25"/>
      <c r="B69" s="25"/>
      <c r="C69" s="25"/>
      <c r="D69" s="26"/>
    </row>
    <row r="70" spans="1:4" ht="18" x14ac:dyDescent="0.35">
      <c r="A70" s="25"/>
      <c r="B70" s="25"/>
      <c r="C70" s="25"/>
      <c r="D70" s="26"/>
    </row>
    <row r="71" spans="1:4" ht="18" x14ac:dyDescent="0.35">
      <c r="A71" s="25"/>
      <c r="B71" s="25"/>
      <c r="C71" s="25"/>
      <c r="D71" s="26"/>
    </row>
    <row r="72" spans="1:4" ht="18" x14ac:dyDescent="0.35">
      <c r="A72" s="25"/>
      <c r="B72" s="25"/>
      <c r="C72" s="25"/>
      <c r="D72" s="26"/>
    </row>
    <row r="73" spans="1:4" ht="18" x14ac:dyDescent="0.35">
      <c r="A73" s="25"/>
      <c r="B73" s="25"/>
      <c r="C73" s="25"/>
      <c r="D73" s="26"/>
    </row>
    <row r="74" spans="1:4" ht="18" x14ac:dyDescent="0.35">
      <c r="A74" s="25"/>
      <c r="B74" s="25"/>
      <c r="C74" s="25"/>
      <c r="D74" s="26"/>
    </row>
    <row r="75" spans="1:4" ht="18" x14ac:dyDescent="0.35">
      <c r="A75" s="25"/>
      <c r="B75" s="25"/>
      <c r="C75" s="25"/>
      <c r="D75" s="26"/>
    </row>
    <row r="76" spans="1:4" ht="18" x14ac:dyDescent="0.35">
      <c r="A76" s="25"/>
      <c r="B76" s="25"/>
      <c r="C76" s="25"/>
      <c r="D76" s="26"/>
    </row>
    <row r="77" spans="1:4" ht="18" x14ac:dyDescent="0.35">
      <c r="A77" s="25"/>
      <c r="B77" s="25"/>
      <c r="C77" s="25"/>
      <c r="D77" s="26"/>
    </row>
    <row r="78" spans="1:4" ht="18" x14ac:dyDescent="0.35">
      <c r="A78" s="25"/>
      <c r="B78" s="25"/>
      <c r="C78" s="25"/>
      <c r="D78" s="26"/>
    </row>
    <row r="79" spans="1:4" ht="18" x14ac:dyDescent="0.35">
      <c r="A79" s="25"/>
      <c r="B79" s="25"/>
      <c r="C79" s="25"/>
      <c r="D79" s="26"/>
    </row>
    <row r="80" spans="1:4" ht="18" x14ac:dyDescent="0.35">
      <c r="A80" s="25"/>
      <c r="B80" s="25"/>
      <c r="C80" s="25"/>
      <c r="D80" s="26"/>
    </row>
    <row r="81" spans="1:4" ht="18" x14ac:dyDescent="0.35">
      <c r="A81" s="25"/>
      <c r="B81" s="25"/>
      <c r="C81" s="25"/>
      <c r="D81" s="26"/>
    </row>
    <row r="82" spans="1:4" ht="18" x14ac:dyDescent="0.35">
      <c r="A82" s="25"/>
      <c r="B82" s="25"/>
      <c r="C82" s="25"/>
      <c r="D82" s="26"/>
    </row>
    <row r="83" spans="1:4" ht="18" x14ac:dyDescent="0.35">
      <c r="A83" s="25"/>
      <c r="B83" s="25"/>
      <c r="C83" s="25"/>
      <c r="D83" s="26"/>
    </row>
    <row r="84" spans="1:4" ht="18" x14ac:dyDescent="0.35">
      <c r="A84" s="25"/>
      <c r="B84" s="25"/>
      <c r="C84" s="25"/>
      <c r="D84" s="26"/>
    </row>
    <row r="85" spans="1:4" ht="18" x14ac:dyDescent="0.35">
      <c r="A85" s="25"/>
      <c r="B85" s="25"/>
      <c r="C85" s="25"/>
      <c r="D85" s="26"/>
    </row>
    <row r="86" spans="1:4" ht="18" x14ac:dyDescent="0.35">
      <c r="A86" s="25"/>
      <c r="B86" s="25"/>
      <c r="C86" s="25"/>
      <c r="D86" s="26"/>
    </row>
    <row r="87" spans="1:4" ht="18" x14ac:dyDescent="0.35">
      <c r="A87" s="25"/>
      <c r="B87" s="25"/>
      <c r="C87" s="25"/>
      <c r="D87" s="26"/>
    </row>
    <row r="88" spans="1:4" ht="18" x14ac:dyDescent="0.35">
      <c r="A88" s="25"/>
      <c r="B88" s="25"/>
      <c r="C88" s="25"/>
      <c r="D88" s="26"/>
    </row>
    <row r="89" spans="1:4" ht="18" x14ac:dyDescent="0.35">
      <c r="A89" s="25"/>
      <c r="B89" s="25"/>
      <c r="C89" s="25"/>
      <c r="D89" s="26"/>
    </row>
    <row r="90" spans="1:4" ht="18" x14ac:dyDescent="0.35">
      <c r="A90" s="25"/>
      <c r="B90" s="25"/>
      <c r="C90" s="25"/>
      <c r="D90" s="26"/>
    </row>
    <row r="91" spans="1:4" ht="18" x14ac:dyDescent="0.35">
      <c r="A91" s="25"/>
      <c r="B91" s="25"/>
      <c r="C91" s="25"/>
      <c r="D91" s="26"/>
    </row>
    <row r="92" spans="1:4" ht="18" x14ac:dyDescent="0.35">
      <c r="A92" s="25"/>
      <c r="B92" s="25"/>
      <c r="C92" s="25"/>
      <c r="D92" s="26"/>
    </row>
    <row r="93" spans="1:4" ht="18" x14ac:dyDescent="0.35">
      <c r="A93" s="25"/>
      <c r="B93" s="25"/>
      <c r="C93" s="25"/>
      <c r="D93" s="26"/>
    </row>
    <row r="94" spans="1:4" ht="18" x14ac:dyDescent="0.35">
      <c r="A94" s="25"/>
      <c r="B94" s="25"/>
      <c r="C94" s="25"/>
      <c r="D94" s="26"/>
    </row>
    <row r="95" spans="1:4" ht="18" x14ac:dyDescent="0.35">
      <c r="A95" s="25"/>
      <c r="B95" s="25"/>
      <c r="C95" s="25"/>
      <c r="D95" s="26"/>
    </row>
    <row r="96" spans="1:4" ht="18" x14ac:dyDescent="0.35">
      <c r="A96" s="25"/>
      <c r="B96" s="25"/>
      <c r="C96" s="25"/>
      <c r="D96" s="26"/>
    </row>
    <row r="97" spans="1:4" ht="18" x14ac:dyDescent="0.35">
      <c r="A97" s="25"/>
      <c r="B97" s="25"/>
      <c r="C97" s="25"/>
      <c r="D97" s="26"/>
    </row>
    <row r="98" spans="1:4" ht="18" x14ac:dyDescent="0.35">
      <c r="A98" s="25"/>
      <c r="B98" s="25"/>
      <c r="C98" s="25"/>
      <c r="D98" s="26"/>
    </row>
    <row r="99" spans="1:4" ht="18" x14ac:dyDescent="0.35">
      <c r="A99" s="25"/>
      <c r="B99" s="25"/>
      <c r="C99" s="25"/>
      <c r="D99" s="26"/>
    </row>
    <row r="100" spans="1:4" ht="18" x14ac:dyDescent="0.35">
      <c r="A100" s="25"/>
      <c r="B100" s="25"/>
      <c r="C100" s="25"/>
      <c r="D100" s="26"/>
    </row>
    <row r="101" spans="1:4" ht="18" x14ac:dyDescent="0.35">
      <c r="A101" s="25"/>
      <c r="B101" s="25"/>
      <c r="C101" s="25"/>
      <c r="D101" s="26"/>
    </row>
    <row r="102" spans="1:4" ht="18" x14ac:dyDescent="0.35">
      <c r="A102" s="25"/>
      <c r="B102" s="25"/>
      <c r="C102" s="25"/>
      <c r="D102" s="26"/>
    </row>
    <row r="103" spans="1:4" ht="18" x14ac:dyDescent="0.35">
      <c r="A103" s="25"/>
      <c r="B103" s="25"/>
      <c r="C103" s="25"/>
      <c r="D103" s="26"/>
    </row>
    <row r="104" spans="1:4" ht="18" x14ac:dyDescent="0.35">
      <c r="A104" s="25"/>
      <c r="B104" s="25"/>
      <c r="C104" s="25"/>
      <c r="D104" s="26"/>
    </row>
    <row r="105" spans="1:4" ht="18" x14ac:dyDescent="0.35">
      <c r="A105" s="25"/>
      <c r="B105" s="25"/>
      <c r="C105" s="25"/>
      <c r="D105" s="26"/>
    </row>
    <row r="106" spans="1:4" ht="18" x14ac:dyDescent="0.35">
      <c r="A106" s="25"/>
      <c r="B106" s="25"/>
      <c r="C106" s="25"/>
      <c r="D106" s="26"/>
    </row>
    <row r="107" spans="1:4" ht="18" x14ac:dyDescent="0.35">
      <c r="A107" s="25"/>
      <c r="B107" s="25"/>
      <c r="C107" s="25"/>
      <c r="D107" s="26"/>
    </row>
    <row r="108" spans="1:4" ht="18" x14ac:dyDescent="0.35">
      <c r="A108" s="25"/>
      <c r="B108" s="25"/>
      <c r="C108" s="25"/>
      <c r="D108" s="26"/>
    </row>
    <row r="109" spans="1:4" ht="18" x14ac:dyDescent="0.35">
      <c r="A109" s="25"/>
      <c r="B109" s="25"/>
      <c r="C109" s="25"/>
      <c r="D109" s="26"/>
    </row>
    <row r="110" spans="1:4" ht="18" x14ac:dyDescent="0.35">
      <c r="A110" s="25"/>
      <c r="B110" s="25"/>
      <c r="C110" s="25"/>
      <c r="D110" s="26"/>
    </row>
    <row r="111" spans="1:4" ht="18" x14ac:dyDescent="0.35">
      <c r="A111" s="25"/>
      <c r="B111" s="25"/>
      <c r="C111" s="25"/>
      <c r="D111" s="26"/>
    </row>
    <row r="112" spans="1:4" ht="18" x14ac:dyDescent="0.35">
      <c r="A112" s="25"/>
      <c r="B112" s="25"/>
      <c r="C112" s="25"/>
      <c r="D112" s="26"/>
    </row>
    <row r="113" spans="1:4" ht="18" x14ac:dyDescent="0.35">
      <c r="A113" s="25"/>
      <c r="B113" s="25"/>
      <c r="C113" s="25"/>
      <c r="D113" s="26"/>
    </row>
    <row r="114" spans="1:4" ht="18" x14ac:dyDescent="0.35">
      <c r="A114" s="25"/>
      <c r="B114" s="25"/>
      <c r="C114" s="25"/>
      <c r="D114" s="26"/>
    </row>
    <row r="115" spans="1:4" ht="18" x14ac:dyDescent="0.35">
      <c r="A115" s="25"/>
      <c r="B115" s="25"/>
      <c r="C115" s="25"/>
      <c r="D115" s="26"/>
    </row>
    <row r="116" spans="1:4" ht="18" x14ac:dyDescent="0.35">
      <c r="A116" s="25"/>
      <c r="B116" s="25"/>
      <c r="C116" s="25"/>
      <c r="D116" s="26"/>
    </row>
    <row r="117" spans="1:4" ht="18" x14ac:dyDescent="0.35">
      <c r="A117" s="25"/>
      <c r="B117" s="25"/>
      <c r="C117" s="25"/>
      <c r="D117" s="26"/>
    </row>
    <row r="118" spans="1:4" ht="18" x14ac:dyDescent="0.35">
      <c r="A118" s="25"/>
      <c r="B118" s="25"/>
      <c r="C118" s="25"/>
      <c r="D118" s="26"/>
    </row>
    <row r="119" spans="1:4" ht="18" x14ac:dyDescent="0.35">
      <c r="A119" s="25"/>
      <c r="B119" s="25"/>
      <c r="C119" s="25"/>
      <c r="D119" s="26"/>
    </row>
    <row r="120" spans="1:4" ht="18" x14ac:dyDescent="0.35">
      <c r="A120" s="25"/>
      <c r="B120" s="25"/>
      <c r="C120" s="25"/>
      <c r="D120" s="26"/>
    </row>
    <row r="121" spans="1:4" ht="18" x14ac:dyDescent="0.35">
      <c r="A121" s="25"/>
      <c r="B121" s="25"/>
      <c r="C121" s="25"/>
      <c r="D121" s="26"/>
    </row>
    <row r="122" spans="1:4" ht="18" x14ac:dyDescent="0.35">
      <c r="A122" s="25"/>
      <c r="B122" s="25"/>
      <c r="C122" s="25"/>
      <c r="D122" s="26"/>
    </row>
    <row r="123" spans="1:4" ht="18" x14ac:dyDescent="0.35">
      <c r="A123" s="25"/>
      <c r="B123" s="25"/>
      <c r="C123" s="25"/>
      <c r="D123" s="26"/>
    </row>
    <row r="124" spans="1:4" ht="18" x14ac:dyDescent="0.35">
      <c r="A124" s="25"/>
      <c r="B124" s="25"/>
      <c r="C124" s="25"/>
      <c r="D124" s="26"/>
    </row>
    <row r="125" spans="1:4" ht="18" x14ac:dyDescent="0.35">
      <c r="A125" s="25"/>
      <c r="B125" s="25"/>
      <c r="C125" s="25"/>
      <c r="D125" s="26"/>
    </row>
    <row r="126" spans="1:4" ht="18" x14ac:dyDescent="0.35">
      <c r="A126" s="25"/>
      <c r="B126" s="25"/>
      <c r="C126" s="25"/>
      <c r="D126" s="26"/>
    </row>
    <row r="127" spans="1:4" ht="18" x14ac:dyDescent="0.35">
      <c r="A127" s="25"/>
      <c r="B127" s="25"/>
      <c r="C127" s="25"/>
      <c r="D127" s="26"/>
    </row>
    <row r="128" spans="1:4" ht="18" x14ac:dyDescent="0.35">
      <c r="A128" s="25"/>
      <c r="B128" s="25"/>
      <c r="C128" s="25"/>
      <c r="D128" s="26"/>
    </row>
    <row r="129" spans="1:4" ht="18" x14ac:dyDescent="0.35">
      <c r="A129" s="25"/>
      <c r="B129" s="25"/>
      <c r="C129" s="25"/>
      <c r="D129" s="26"/>
    </row>
    <row r="130" spans="1:4" ht="18" x14ac:dyDescent="0.35">
      <c r="A130" s="25"/>
      <c r="B130" s="25"/>
      <c r="C130" s="25"/>
      <c r="D130" s="26"/>
    </row>
    <row r="131" spans="1:4" ht="18" x14ac:dyDescent="0.35">
      <c r="A131" s="25"/>
      <c r="B131" s="25"/>
      <c r="C131" s="25"/>
      <c r="D131" s="26"/>
    </row>
    <row r="132" spans="1:4" ht="18" x14ac:dyDescent="0.35">
      <c r="A132" s="25"/>
      <c r="B132" s="25"/>
      <c r="C132" s="25"/>
      <c r="D132" s="26"/>
    </row>
    <row r="133" spans="1:4" ht="18" x14ac:dyDescent="0.35">
      <c r="A133" s="25"/>
      <c r="B133" s="25"/>
      <c r="C133" s="25"/>
      <c r="D133" s="26"/>
    </row>
    <row r="134" spans="1:4" ht="18" x14ac:dyDescent="0.35">
      <c r="A134" s="25"/>
      <c r="B134" s="25"/>
      <c r="C134" s="25"/>
      <c r="D134" s="26"/>
    </row>
    <row r="135" spans="1:4" ht="18" x14ac:dyDescent="0.35">
      <c r="A135" s="25"/>
      <c r="B135" s="25"/>
      <c r="C135" s="25"/>
      <c r="D135" s="26"/>
    </row>
    <row r="136" spans="1:4" ht="18" x14ac:dyDescent="0.35">
      <c r="A136" s="25"/>
      <c r="B136" s="25"/>
      <c r="C136" s="25"/>
      <c r="D136" s="26"/>
    </row>
    <row r="137" spans="1:4" ht="18" x14ac:dyDescent="0.35">
      <c r="A137" s="25"/>
      <c r="B137" s="25"/>
      <c r="C137" s="25"/>
      <c r="D137" s="26"/>
    </row>
    <row r="138" spans="1:4" ht="18" x14ac:dyDescent="0.35">
      <c r="A138" s="25"/>
      <c r="B138" s="25"/>
      <c r="C138" s="25"/>
      <c r="D138" s="26"/>
    </row>
    <row r="139" spans="1:4" ht="18" x14ac:dyDescent="0.35">
      <c r="A139" s="25"/>
      <c r="B139" s="25"/>
      <c r="C139" s="25"/>
      <c r="D139" s="26"/>
    </row>
    <row r="140" spans="1:4" ht="18" x14ac:dyDescent="0.35">
      <c r="A140" s="25"/>
      <c r="B140" s="25"/>
      <c r="C140" s="25"/>
      <c r="D140" s="26"/>
    </row>
    <row r="141" spans="1:4" ht="18" x14ac:dyDescent="0.35">
      <c r="A141" s="25"/>
      <c r="B141" s="25"/>
      <c r="C141" s="25"/>
      <c r="D141" s="26"/>
    </row>
    <row r="142" spans="1:4" ht="18" x14ac:dyDescent="0.35">
      <c r="A142" s="25"/>
      <c r="B142" s="25"/>
      <c r="C142" s="25"/>
      <c r="D142" s="26"/>
    </row>
    <row r="143" spans="1:4" ht="18" x14ac:dyDescent="0.35">
      <c r="A143" s="25"/>
      <c r="B143" s="25"/>
      <c r="C143" s="25"/>
      <c r="D143" s="26"/>
    </row>
    <row r="144" spans="1:4" ht="18" x14ac:dyDescent="0.35">
      <c r="A144" s="25"/>
      <c r="B144" s="25"/>
      <c r="C144" s="25"/>
      <c r="D144" s="26"/>
    </row>
    <row r="145" spans="1:4" ht="18" x14ac:dyDescent="0.35">
      <c r="A145" s="25"/>
      <c r="B145" s="25"/>
      <c r="C145" s="25"/>
      <c r="D145" s="26"/>
    </row>
    <row r="146" spans="1:4" ht="18" x14ac:dyDescent="0.35">
      <c r="A146" s="25"/>
      <c r="B146" s="25"/>
      <c r="C146" s="25"/>
      <c r="D146" s="26"/>
    </row>
    <row r="147" spans="1:4" ht="18" x14ac:dyDescent="0.35">
      <c r="A147" s="25"/>
      <c r="B147" s="25"/>
      <c r="C147" s="25"/>
      <c r="D147" s="26"/>
    </row>
    <row r="148" spans="1:4" ht="18" x14ac:dyDescent="0.35">
      <c r="A148" s="25"/>
      <c r="B148" s="25"/>
      <c r="C148" s="25"/>
      <c r="D148" s="26"/>
    </row>
    <row r="149" spans="1:4" ht="18" x14ac:dyDescent="0.35">
      <c r="A149" s="25"/>
      <c r="B149" s="25"/>
      <c r="C149" s="25"/>
      <c r="D149" s="26"/>
    </row>
    <row r="150" spans="1:4" ht="18" x14ac:dyDescent="0.35">
      <c r="A150" s="25"/>
      <c r="B150" s="25"/>
      <c r="C150" s="25"/>
      <c r="D150" s="26"/>
    </row>
    <row r="151" spans="1:4" ht="18" x14ac:dyDescent="0.35">
      <c r="A151" s="25"/>
      <c r="B151" s="25"/>
      <c r="C151" s="25"/>
      <c r="D151" s="26"/>
    </row>
    <row r="152" spans="1:4" ht="18" x14ac:dyDescent="0.35">
      <c r="A152" s="25"/>
      <c r="B152" s="25"/>
      <c r="C152" s="25"/>
      <c r="D152" s="26"/>
    </row>
    <row r="153" spans="1:4" ht="18" x14ac:dyDescent="0.35">
      <c r="A153" s="25"/>
      <c r="B153" s="25"/>
      <c r="C153" s="25"/>
      <c r="D153" s="26"/>
    </row>
    <row r="154" spans="1:4" ht="18" x14ac:dyDescent="0.35">
      <c r="A154" s="25"/>
      <c r="B154" s="25"/>
      <c r="C154" s="25"/>
      <c r="D154" s="26"/>
    </row>
    <row r="155" spans="1:4" ht="18" x14ac:dyDescent="0.35">
      <c r="A155" s="25"/>
      <c r="B155" s="25"/>
      <c r="C155" s="25"/>
      <c r="D155" s="26"/>
    </row>
    <row r="156" spans="1:4" ht="18" x14ac:dyDescent="0.35">
      <c r="A156" s="25"/>
      <c r="B156" s="25"/>
      <c r="C156" s="25"/>
      <c r="D156" s="26"/>
    </row>
    <row r="157" spans="1:4" ht="18" x14ac:dyDescent="0.35">
      <c r="A157" s="25"/>
      <c r="B157" s="25"/>
      <c r="C157" s="25"/>
      <c r="D157" s="26"/>
    </row>
    <row r="158" spans="1:4" ht="18" x14ac:dyDescent="0.35">
      <c r="A158" s="25"/>
      <c r="B158" s="25"/>
      <c r="C158" s="25"/>
      <c r="D158" s="26"/>
    </row>
    <row r="159" spans="1:4" ht="18" x14ac:dyDescent="0.35">
      <c r="A159" s="25"/>
      <c r="B159" s="25"/>
      <c r="C159" s="25"/>
      <c r="D159" s="26"/>
    </row>
    <row r="160" spans="1:4" ht="18" x14ac:dyDescent="0.35">
      <c r="A160" s="25"/>
      <c r="B160" s="25"/>
      <c r="C160" s="25"/>
      <c r="D160" s="26"/>
    </row>
    <row r="161" spans="1:4" ht="18" x14ac:dyDescent="0.35">
      <c r="A161" s="25"/>
      <c r="B161" s="25"/>
      <c r="C161" s="25"/>
      <c r="D161" s="26"/>
    </row>
    <row r="162" spans="1:4" ht="18" x14ac:dyDescent="0.35">
      <c r="A162" s="25"/>
      <c r="B162" s="25"/>
      <c r="C162" s="25"/>
      <c r="D162" s="26"/>
    </row>
    <row r="163" spans="1:4" ht="18" x14ac:dyDescent="0.35">
      <c r="A163" s="25"/>
      <c r="B163" s="25"/>
      <c r="C163" s="25"/>
      <c r="D163" s="26"/>
    </row>
    <row r="164" spans="1:4" ht="18" x14ac:dyDescent="0.35">
      <c r="A164" s="25"/>
      <c r="B164" s="25"/>
      <c r="C164" s="25"/>
      <c r="D164" s="26"/>
    </row>
    <row r="165" spans="1:4" ht="18" x14ac:dyDescent="0.35">
      <c r="A165" s="25"/>
      <c r="B165" s="25"/>
      <c r="C165" s="25"/>
      <c r="D165" s="26"/>
    </row>
    <row r="166" spans="1:4" ht="18" x14ac:dyDescent="0.35">
      <c r="A166" s="25"/>
      <c r="B166" s="25"/>
      <c r="C166" s="25"/>
      <c r="D166" s="26"/>
    </row>
    <row r="167" spans="1:4" ht="18" x14ac:dyDescent="0.35">
      <c r="A167" s="25"/>
      <c r="B167" s="25"/>
      <c r="C167" s="25"/>
      <c r="D167" s="26"/>
    </row>
    <row r="168" spans="1:4" ht="18" x14ac:dyDescent="0.35">
      <c r="A168" s="25"/>
      <c r="B168" s="25"/>
      <c r="C168" s="25"/>
      <c r="D168" s="26"/>
    </row>
    <row r="169" spans="1:4" ht="18" x14ac:dyDescent="0.35">
      <c r="A169" s="25"/>
      <c r="B169" s="25"/>
      <c r="C169" s="25"/>
      <c r="D169" s="26"/>
    </row>
    <row r="170" spans="1:4" ht="18" x14ac:dyDescent="0.35">
      <c r="A170" s="25"/>
      <c r="B170" s="25"/>
      <c r="C170" s="25"/>
      <c r="D170" s="26"/>
    </row>
    <row r="171" spans="1:4" ht="18" x14ac:dyDescent="0.35">
      <c r="A171" s="25"/>
      <c r="B171" s="25"/>
      <c r="C171" s="25"/>
      <c r="D171" s="26"/>
    </row>
    <row r="172" spans="1:4" ht="18" x14ac:dyDescent="0.35">
      <c r="A172" s="25"/>
      <c r="B172" s="25"/>
      <c r="C172" s="25"/>
      <c r="D172" s="26"/>
    </row>
    <row r="173" spans="1:4" ht="18" x14ac:dyDescent="0.35">
      <c r="A173" s="25"/>
      <c r="B173" s="25"/>
      <c r="C173" s="25"/>
      <c r="D173" s="26"/>
    </row>
    <row r="174" spans="1:4" ht="18" x14ac:dyDescent="0.35">
      <c r="A174" s="25"/>
      <c r="B174" s="25"/>
      <c r="C174" s="25"/>
      <c r="D174" s="26"/>
    </row>
    <row r="175" spans="1:4" ht="18" x14ac:dyDescent="0.35">
      <c r="A175" s="25"/>
      <c r="B175" s="25"/>
      <c r="C175" s="25"/>
      <c r="D175" s="26"/>
    </row>
    <row r="176" spans="1:4" ht="18" x14ac:dyDescent="0.35">
      <c r="A176" s="25"/>
      <c r="B176" s="25"/>
      <c r="C176" s="25"/>
      <c r="D176" s="26"/>
    </row>
    <row r="177" spans="1:4" ht="18" x14ac:dyDescent="0.35">
      <c r="A177" s="25"/>
      <c r="B177" s="25"/>
      <c r="C177" s="25"/>
      <c r="D177" s="26"/>
    </row>
    <row r="178" spans="1:4" ht="18" x14ac:dyDescent="0.35">
      <c r="A178" s="25"/>
      <c r="B178" s="25"/>
      <c r="C178" s="25"/>
      <c r="D178" s="26"/>
    </row>
    <row r="179" spans="1:4" ht="18" x14ac:dyDescent="0.35">
      <c r="A179" s="25"/>
      <c r="B179" s="25"/>
      <c r="C179" s="25"/>
      <c r="D179" s="26"/>
    </row>
    <row r="180" spans="1:4" ht="18" x14ac:dyDescent="0.35">
      <c r="A180" s="25"/>
      <c r="B180" s="25"/>
      <c r="C180" s="25"/>
      <c r="D180" s="26"/>
    </row>
    <row r="181" spans="1:4" ht="18" x14ac:dyDescent="0.35">
      <c r="A181" s="25"/>
      <c r="B181" s="25"/>
      <c r="C181" s="25"/>
      <c r="D181" s="26"/>
    </row>
    <row r="182" spans="1:4" ht="18" x14ac:dyDescent="0.35">
      <c r="A182" s="25"/>
      <c r="B182" s="25"/>
      <c r="C182" s="25"/>
      <c r="D182" s="26"/>
    </row>
    <row r="183" spans="1:4" ht="18" x14ac:dyDescent="0.35">
      <c r="A183" s="25"/>
      <c r="B183" s="25"/>
      <c r="C183" s="25"/>
      <c r="D183" s="26"/>
    </row>
    <row r="184" spans="1:4" ht="18" x14ac:dyDescent="0.35">
      <c r="A184" s="25"/>
      <c r="B184" s="25"/>
      <c r="C184" s="25"/>
      <c r="D184" s="26"/>
    </row>
    <row r="185" spans="1:4" ht="18" x14ac:dyDescent="0.35">
      <c r="A185" s="25"/>
      <c r="B185" s="25"/>
      <c r="C185" s="25"/>
      <c r="D185" s="26"/>
    </row>
    <row r="186" spans="1:4" ht="18" x14ac:dyDescent="0.35">
      <c r="A186" s="25"/>
      <c r="B186" s="25"/>
      <c r="C186" s="25"/>
      <c r="D186" s="26"/>
    </row>
    <row r="187" spans="1:4" ht="18" x14ac:dyDescent="0.35">
      <c r="A187" s="25"/>
      <c r="B187" s="25"/>
      <c r="C187" s="25"/>
      <c r="D187" s="26"/>
    </row>
    <row r="188" spans="1:4" ht="18" x14ac:dyDescent="0.35">
      <c r="A188" s="25"/>
      <c r="B188" s="25"/>
      <c r="C188" s="25"/>
      <c r="D188" s="26"/>
    </row>
    <row r="189" spans="1:4" ht="18" x14ac:dyDescent="0.35">
      <c r="A189" s="25"/>
      <c r="B189" s="25"/>
      <c r="C189" s="25"/>
      <c r="D189" s="26"/>
    </row>
    <row r="190" spans="1:4" ht="18" x14ac:dyDescent="0.35">
      <c r="A190" s="25"/>
      <c r="B190" s="25"/>
      <c r="C190" s="25"/>
      <c r="D190" s="26"/>
    </row>
    <row r="191" spans="1:4" ht="18" x14ac:dyDescent="0.35">
      <c r="A191" s="25"/>
      <c r="B191" s="25"/>
      <c r="C191" s="25"/>
      <c r="D191" s="26"/>
    </row>
    <row r="192" spans="1:4" ht="18" x14ac:dyDescent="0.35">
      <c r="A192" s="25"/>
      <c r="B192" s="25"/>
      <c r="C192" s="25"/>
      <c r="D192" s="26"/>
    </row>
    <row r="193" spans="1:4" ht="18" x14ac:dyDescent="0.35">
      <c r="A193" s="25"/>
      <c r="B193" s="25"/>
      <c r="C193" s="25"/>
      <c r="D193" s="26"/>
    </row>
    <row r="194" spans="1:4" ht="18" x14ac:dyDescent="0.35">
      <c r="A194" s="25"/>
      <c r="B194" s="25"/>
      <c r="C194" s="25"/>
      <c r="D194" s="26"/>
    </row>
    <row r="195" spans="1:4" ht="18" x14ac:dyDescent="0.35">
      <c r="A195" s="25"/>
      <c r="B195" s="25"/>
      <c r="C195" s="25"/>
      <c r="D195" s="26"/>
    </row>
    <row r="196" spans="1:4" ht="18" x14ac:dyDescent="0.35">
      <c r="A196" s="25"/>
      <c r="B196" s="25"/>
      <c r="C196" s="25"/>
      <c r="D196" s="26"/>
    </row>
    <row r="197" spans="1:4" ht="18" x14ac:dyDescent="0.35">
      <c r="A197" s="25"/>
      <c r="B197" s="25"/>
      <c r="C197" s="25"/>
      <c r="D197" s="26"/>
    </row>
    <row r="198" spans="1:4" ht="18" x14ac:dyDescent="0.35">
      <c r="A198" s="25"/>
      <c r="B198" s="25"/>
      <c r="C198" s="25"/>
      <c r="D198" s="26"/>
    </row>
    <row r="199" spans="1:4" ht="18" x14ac:dyDescent="0.35">
      <c r="A199" s="25"/>
      <c r="B199" s="25"/>
      <c r="C199" s="25"/>
      <c r="D199" s="26"/>
    </row>
    <row r="200" spans="1:4" ht="18" x14ac:dyDescent="0.35">
      <c r="A200" s="25"/>
      <c r="B200" s="25"/>
      <c r="C200" s="25"/>
      <c r="D200" s="26"/>
    </row>
    <row r="201" spans="1:4" ht="18" x14ac:dyDescent="0.35">
      <c r="A201" s="25"/>
      <c r="B201" s="25"/>
      <c r="C201" s="25"/>
      <c r="D201" s="26"/>
    </row>
    <row r="202" spans="1:4" ht="18" x14ac:dyDescent="0.35">
      <c r="A202" s="25"/>
      <c r="B202" s="25"/>
      <c r="C202" s="25"/>
      <c r="D202" s="26"/>
    </row>
    <row r="203" spans="1:4" ht="18" x14ac:dyDescent="0.35">
      <c r="A203" s="25"/>
      <c r="B203" s="25"/>
      <c r="C203" s="25"/>
      <c r="D203" s="26"/>
    </row>
    <row r="204" spans="1:4" ht="18" x14ac:dyDescent="0.35">
      <c r="A204" s="25"/>
      <c r="B204" s="25"/>
      <c r="C204" s="25"/>
      <c r="D204" s="26"/>
    </row>
    <row r="205" spans="1:4" ht="18" x14ac:dyDescent="0.35">
      <c r="A205" s="25"/>
      <c r="B205" s="25"/>
      <c r="C205" s="25"/>
      <c r="D205" s="26"/>
    </row>
    <row r="206" spans="1:4" ht="18" x14ac:dyDescent="0.35">
      <c r="A206" s="25"/>
      <c r="B206" s="25"/>
      <c r="C206" s="25"/>
      <c r="D206" s="26"/>
    </row>
    <row r="207" spans="1:4" ht="18" x14ac:dyDescent="0.35">
      <c r="A207" s="25"/>
      <c r="B207" s="25"/>
      <c r="C207" s="25"/>
      <c r="D207" s="26"/>
    </row>
    <row r="208" spans="1:4" ht="18" x14ac:dyDescent="0.35">
      <c r="A208" s="25"/>
      <c r="B208" s="25"/>
      <c r="C208" s="25"/>
      <c r="D208" s="26"/>
    </row>
    <row r="209" spans="1:4" ht="18" x14ac:dyDescent="0.35">
      <c r="A209" s="25"/>
      <c r="B209" s="25"/>
      <c r="C209" s="25"/>
      <c r="D209" s="26"/>
    </row>
    <row r="210" spans="1:4" ht="18" x14ac:dyDescent="0.35">
      <c r="A210" s="25"/>
      <c r="B210" s="25"/>
      <c r="C210" s="25"/>
      <c r="D210" s="26"/>
    </row>
    <row r="211" spans="1:4" ht="18" x14ac:dyDescent="0.35">
      <c r="A211" s="25"/>
      <c r="B211" s="25"/>
      <c r="C211" s="25"/>
      <c r="D211" s="26"/>
    </row>
    <row r="212" spans="1:4" ht="18" x14ac:dyDescent="0.35">
      <c r="A212" s="25"/>
      <c r="B212" s="25"/>
      <c r="C212" s="25"/>
      <c r="D212" s="26"/>
    </row>
    <row r="213" spans="1:4" ht="18" x14ac:dyDescent="0.35">
      <c r="A213" s="25"/>
      <c r="B213" s="25"/>
      <c r="C213" s="25"/>
      <c r="D213" s="26"/>
    </row>
    <row r="214" spans="1:4" ht="18" x14ac:dyDescent="0.35">
      <c r="A214" s="25"/>
      <c r="B214" s="25"/>
      <c r="C214" s="25"/>
      <c r="D214" s="26"/>
    </row>
    <row r="215" spans="1:4" ht="18" x14ac:dyDescent="0.35">
      <c r="A215" s="25"/>
      <c r="B215" s="25"/>
      <c r="C215" s="25"/>
      <c r="D215" s="26"/>
    </row>
    <row r="216" spans="1:4" ht="18" x14ac:dyDescent="0.35">
      <c r="A216" s="25"/>
      <c r="B216" s="25"/>
      <c r="C216" s="25"/>
      <c r="D216" s="26"/>
    </row>
    <row r="217" spans="1:4" ht="18" x14ac:dyDescent="0.35">
      <c r="A217" s="25"/>
      <c r="B217" s="25"/>
      <c r="C217" s="25"/>
      <c r="D217" s="26"/>
    </row>
    <row r="218" spans="1:4" ht="18" x14ac:dyDescent="0.35">
      <c r="A218" s="25"/>
      <c r="B218" s="25"/>
      <c r="C218" s="25"/>
      <c r="D218" s="26"/>
    </row>
    <row r="219" spans="1:4" ht="18" x14ac:dyDescent="0.35">
      <c r="A219" s="25"/>
      <c r="B219" s="25"/>
      <c r="C219" s="25"/>
      <c r="D219" s="26"/>
    </row>
    <row r="220" spans="1:4" ht="18" x14ac:dyDescent="0.35">
      <c r="A220" s="25"/>
      <c r="B220" s="25"/>
      <c r="C220" s="25"/>
      <c r="D220" s="26"/>
    </row>
    <row r="221" spans="1:4" ht="18" x14ac:dyDescent="0.35">
      <c r="A221" s="25"/>
      <c r="B221" s="25"/>
      <c r="C221" s="25"/>
      <c r="D221" s="26"/>
    </row>
    <row r="222" spans="1:4" ht="18" x14ac:dyDescent="0.35">
      <c r="A222" s="25"/>
      <c r="B222" s="25"/>
      <c r="C222" s="25"/>
      <c r="D222" s="26"/>
    </row>
    <row r="223" spans="1:4" ht="18" x14ac:dyDescent="0.35">
      <c r="A223" s="25"/>
      <c r="B223" s="25"/>
      <c r="C223" s="25"/>
      <c r="D223" s="26"/>
    </row>
    <row r="224" spans="1:4" ht="18" x14ac:dyDescent="0.35">
      <c r="A224" s="25"/>
      <c r="B224" s="25"/>
      <c r="C224" s="25"/>
      <c r="D224" s="26"/>
    </row>
    <row r="225" spans="1:4" ht="18" x14ac:dyDescent="0.35">
      <c r="A225" s="25"/>
      <c r="B225" s="25"/>
      <c r="C225" s="25"/>
      <c r="D225" s="26"/>
    </row>
    <row r="226" spans="1:4" ht="18" x14ac:dyDescent="0.35">
      <c r="A226" s="25"/>
      <c r="B226" s="25"/>
      <c r="C226" s="25"/>
      <c r="D226" s="26"/>
    </row>
    <row r="227" spans="1:4" ht="18" x14ac:dyDescent="0.35">
      <c r="A227" s="25"/>
      <c r="B227" s="25"/>
      <c r="C227" s="25"/>
      <c r="D227" s="26"/>
    </row>
    <row r="228" spans="1:4" ht="18" x14ac:dyDescent="0.35">
      <c r="A228" s="25"/>
      <c r="B228" s="25"/>
      <c r="C228" s="25"/>
      <c r="D228" s="26"/>
    </row>
    <row r="229" spans="1:4" ht="18" x14ac:dyDescent="0.35">
      <c r="A229" s="25"/>
      <c r="B229" s="25"/>
      <c r="C229" s="25"/>
      <c r="D229" s="26"/>
    </row>
    <row r="230" spans="1:4" ht="18" x14ac:dyDescent="0.35">
      <c r="A230" s="25"/>
      <c r="B230" s="25"/>
      <c r="C230" s="25"/>
      <c r="D230" s="26"/>
    </row>
    <row r="231" spans="1:4" ht="18" x14ac:dyDescent="0.35">
      <c r="A231" s="25"/>
      <c r="B231" s="25"/>
      <c r="C231" s="25"/>
      <c r="D231" s="26"/>
    </row>
    <row r="232" spans="1:4" ht="18" x14ac:dyDescent="0.35">
      <c r="A232" s="25"/>
      <c r="B232" s="25"/>
      <c r="C232" s="25"/>
      <c r="D232" s="26"/>
    </row>
    <row r="233" spans="1:4" ht="18" x14ac:dyDescent="0.35">
      <c r="A233" s="25"/>
      <c r="B233" s="25"/>
      <c r="C233" s="25"/>
      <c r="D233" s="26"/>
    </row>
    <row r="234" spans="1:4" ht="18" x14ac:dyDescent="0.35">
      <c r="A234" s="25"/>
      <c r="B234" s="25"/>
      <c r="C234" s="25"/>
      <c r="D234" s="26"/>
    </row>
    <row r="235" spans="1:4" ht="18" x14ac:dyDescent="0.35">
      <c r="A235" s="25"/>
      <c r="B235" s="25"/>
      <c r="C235" s="25"/>
      <c r="D235" s="26"/>
    </row>
    <row r="236" spans="1:4" ht="18" x14ac:dyDescent="0.35">
      <c r="A236" s="25"/>
      <c r="B236" s="25"/>
      <c r="C236" s="25"/>
      <c r="D236" s="26"/>
    </row>
    <row r="237" spans="1:4" ht="18" x14ac:dyDescent="0.35">
      <c r="A237" s="25"/>
      <c r="B237" s="25"/>
      <c r="C237" s="25"/>
      <c r="D237" s="26"/>
    </row>
    <row r="238" spans="1:4" ht="18" x14ac:dyDescent="0.35">
      <c r="A238" s="25"/>
      <c r="B238" s="25"/>
      <c r="C238" s="25"/>
      <c r="D238" s="26"/>
    </row>
    <row r="239" spans="1:4" ht="18" x14ac:dyDescent="0.35">
      <c r="A239" s="25"/>
      <c r="B239" s="25"/>
      <c r="C239" s="25"/>
      <c r="D239" s="26"/>
    </row>
    <row r="240" spans="1:4" ht="18" x14ac:dyDescent="0.35">
      <c r="A240" s="25"/>
      <c r="B240" s="25"/>
      <c r="C240" s="25"/>
      <c r="D240" s="26"/>
    </row>
    <row r="241" spans="1:4" ht="18" x14ac:dyDescent="0.35">
      <c r="A241" s="25"/>
      <c r="B241" s="25"/>
      <c r="C241" s="25"/>
      <c r="D241" s="26"/>
    </row>
    <row r="242" spans="1:4" ht="18" x14ac:dyDescent="0.35">
      <c r="A242" s="25"/>
      <c r="B242" s="25"/>
      <c r="C242" s="25"/>
      <c r="D242" s="26"/>
    </row>
    <row r="243" spans="1:4" ht="18" x14ac:dyDescent="0.35">
      <c r="A243" s="25"/>
      <c r="B243" s="25"/>
      <c r="C243" s="25"/>
      <c r="D243" s="26"/>
    </row>
    <row r="244" spans="1:4" ht="18" x14ac:dyDescent="0.35">
      <c r="A244" s="25"/>
      <c r="B244" s="25"/>
      <c r="C244" s="25"/>
      <c r="D244" s="26"/>
    </row>
    <row r="245" spans="1:4" ht="18" x14ac:dyDescent="0.35">
      <c r="A245" s="25"/>
      <c r="B245" s="25"/>
      <c r="C245" s="25"/>
      <c r="D245" s="26"/>
    </row>
    <row r="246" spans="1:4" ht="18" x14ac:dyDescent="0.35">
      <c r="A246" s="25"/>
      <c r="B246" s="25"/>
      <c r="C246" s="25"/>
      <c r="D246" s="26"/>
    </row>
    <row r="247" spans="1:4" ht="18" x14ac:dyDescent="0.35">
      <c r="A247" s="25"/>
      <c r="B247" s="25"/>
      <c r="C247" s="25"/>
      <c r="D247" s="26"/>
    </row>
    <row r="248" spans="1:4" ht="18" x14ac:dyDescent="0.35">
      <c r="A248" s="25"/>
      <c r="B248" s="25"/>
      <c r="C248" s="25"/>
      <c r="D248" s="26"/>
    </row>
    <row r="249" spans="1:4" ht="18" x14ac:dyDescent="0.35">
      <c r="A249" s="25"/>
      <c r="B249" s="25"/>
      <c r="C249" s="25"/>
      <c r="D249" s="26"/>
    </row>
    <row r="250" spans="1:4" ht="18" x14ac:dyDescent="0.35">
      <c r="A250" s="25"/>
      <c r="B250" s="25"/>
      <c r="C250" s="25"/>
      <c r="D250" s="26"/>
    </row>
    <row r="251" spans="1:4" ht="18" x14ac:dyDescent="0.35">
      <c r="A251" s="25"/>
      <c r="B251" s="25"/>
      <c r="C251" s="25"/>
      <c r="D251" s="26"/>
    </row>
    <row r="252" spans="1:4" ht="18" x14ac:dyDescent="0.35">
      <c r="A252" s="25"/>
      <c r="B252" s="25"/>
      <c r="C252" s="25"/>
      <c r="D252" s="26"/>
    </row>
    <row r="253" spans="1:4" ht="18" x14ac:dyDescent="0.35">
      <c r="A253" s="25"/>
      <c r="B253" s="25"/>
      <c r="C253" s="25"/>
      <c r="D253" s="26"/>
    </row>
    <row r="254" spans="1:4" ht="18" x14ac:dyDescent="0.35">
      <c r="A254" s="25"/>
      <c r="B254" s="25"/>
      <c r="C254" s="25"/>
      <c r="D254" s="26"/>
    </row>
    <row r="255" spans="1:4" ht="18" x14ac:dyDescent="0.35">
      <c r="A255" s="25"/>
      <c r="B255" s="25"/>
      <c r="C255" s="25"/>
      <c r="D255" s="26"/>
    </row>
    <row r="256" spans="1:4" ht="18" x14ac:dyDescent="0.35">
      <c r="A256" s="25"/>
      <c r="B256" s="25"/>
      <c r="C256" s="25"/>
      <c r="D256" s="26"/>
    </row>
    <row r="257" spans="1:4" ht="18" x14ac:dyDescent="0.35">
      <c r="A257" s="25"/>
      <c r="B257" s="25"/>
      <c r="C257" s="25"/>
      <c r="D257" s="26"/>
    </row>
    <row r="258" spans="1:4" ht="18" x14ac:dyDescent="0.35">
      <c r="A258" s="25"/>
      <c r="B258" s="25"/>
      <c r="C258" s="25"/>
      <c r="D258" s="26"/>
    </row>
    <row r="259" spans="1:4" ht="18" x14ac:dyDescent="0.35">
      <c r="A259" s="25"/>
      <c r="B259" s="25"/>
      <c r="C259" s="25"/>
      <c r="D259" s="26"/>
    </row>
    <row r="260" spans="1:4" ht="18" x14ac:dyDescent="0.35">
      <c r="A260" s="25"/>
      <c r="B260" s="25"/>
      <c r="C260" s="25"/>
      <c r="D260" s="26"/>
    </row>
    <row r="261" spans="1:4" ht="18" x14ac:dyDescent="0.35">
      <c r="A261" s="25"/>
      <c r="B261" s="25"/>
      <c r="C261" s="25"/>
      <c r="D261" s="26"/>
    </row>
    <row r="262" spans="1:4" ht="18" x14ac:dyDescent="0.35">
      <c r="A262" s="25"/>
      <c r="B262" s="25"/>
      <c r="C262" s="25"/>
      <c r="D262" s="26"/>
    </row>
    <row r="263" spans="1:4" ht="18" x14ac:dyDescent="0.35">
      <c r="A263" s="25"/>
      <c r="B263" s="25"/>
      <c r="C263" s="25"/>
      <c r="D263" s="26"/>
    </row>
    <row r="264" spans="1:4" ht="18" x14ac:dyDescent="0.35">
      <c r="A264" s="25"/>
      <c r="B264" s="25"/>
      <c r="C264" s="25"/>
      <c r="D264" s="26"/>
    </row>
    <row r="265" spans="1:4" ht="18" x14ac:dyDescent="0.35">
      <c r="A265" s="25"/>
      <c r="B265" s="25"/>
      <c r="C265" s="25"/>
      <c r="D265" s="26"/>
    </row>
    <row r="266" spans="1:4" ht="18" x14ac:dyDescent="0.35">
      <c r="A266" s="25"/>
      <c r="B266" s="25"/>
      <c r="C266" s="25"/>
      <c r="D266" s="26"/>
    </row>
    <row r="267" spans="1:4" ht="18" x14ac:dyDescent="0.35">
      <c r="A267" s="25"/>
      <c r="B267" s="25"/>
      <c r="C267" s="25"/>
      <c r="D267" s="26"/>
    </row>
    <row r="268" spans="1:4" ht="18" x14ac:dyDescent="0.35">
      <c r="A268" s="25"/>
      <c r="B268" s="25"/>
      <c r="C268" s="25"/>
      <c r="D268" s="26"/>
    </row>
    <row r="269" spans="1:4" ht="18" x14ac:dyDescent="0.35">
      <c r="A269" s="25"/>
      <c r="B269" s="25"/>
      <c r="C269" s="25"/>
      <c r="D269" s="26"/>
    </row>
    <row r="270" spans="1:4" ht="18" x14ac:dyDescent="0.35">
      <c r="A270" s="25"/>
      <c r="B270" s="25"/>
      <c r="C270" s="25"/>
      <c r="D270" s="26"/>
    </row>
    <row r="271" spans="1:4" ht="18" x14ac:dyDescent="0.35">
      <c r="A271" s="25"/>
      <c r="B271" s="25"/>
      <c r="C271" s="25"/>
      <c r="D271" s="26"/>
    </row>
    <row r="272" spans="1:4" ht="18" x14ac:dyDescent="0.35">
      <c r="A272" s="25"/>
      <c r="B272" s="25"/>
      <c r="C272" s="25"/>
      <c r="D272" s="26"/>
    </row>
    <row r="273" spans="1:4" ht="18" x14ac:dyDescent="0.35">
      <c r="A273" s="25"/>
      <c r="B273" s="25"/>
      <c r="C273" s="25"/>
      <c r="D273" s="26"/>
    </row>
    <row r="274" spans="1:4" ht="18" x14ac:dyDescent="0.35">
      <c r="A274" s="25"/>
      <c r="B274" s="25"/>
      <c r="C274" s="25"/>
      <c r="D274" s="26"/>
    </row>
    <row r="275" spans="1:4" ht="18" x14ac:dyDescent="0.35">
      <c r="A275" s="25"/>
      <c r="B275" s="25"/>
      <c r="C275" s="25"/>
      <c r="D275" s="26"/>
    </row>
    <row r="276" spans="1:4" ht="18" x14ac:dyDescent="0.35">
      <c r="A276" s="25"/>
      <c r="B276" s="25"/>
      <c r="C276" s="25"/>
      <c r="D276" s="26"/>
    </row>
    <row r="277" spans="1:4" ht="18" x14ac:dyDescent="0.35">
      <c r="A277" s="25"/>
      <c r="B277" s="25"/>
      <c r="C277" s="25"/>
      <c r="D277" s="26"/>
    </row>
    <row r="278" spans="1:4" ht="18" x14ac:dyDescent="0.35">
      <c r="A278" s="25"/>
      <c r="B278" s="25"/>
      <c r="C278" s="25"/>
      <c r="D278" s="26"/>
    </row>
    <row r="279" spans="1:4" ht="18" x14ac:dyDescent="0.35">
      <c r="A279" s="25"/>
      <c r="B279" s="25"/>
      <c r="C279" s="25"/>
      <c r="D279" s="26"/>
    </row>
    <row r="280" spans="1:4" ht="18" x14ac:dyDescent="0.35">
      <c r="A280" s="25"/>
      <c r="B280" s="25"/>
      <c r="C280" s="25"/>
      <c r="D280" s="26"/>
    </row>
    <row r="281" spans="1:4" ht="18" x14ac:dyDescent="0.35">
      <c r="A281" s="25"/>
      <c r="B281" s="25"/>
      <c r="C281" s="25"/>
      <c r="D281" s="26"/>
    </row>
    <row r="282" spans="1:4" ht="18" x14ac:dyDescent="0.35">
      <c r="A282" s="25"/>
      <c r="B282" s="25"/>
      <c r="C282" s="25"/>
      <c r="D282" s="26"/>
    </row>
    <row r="283" spans="1:4" ht="18" x14ac:dyDescent="0.35">
      <c r="A283" s="25"/>
      <c r="B283" s="25"/>
      <c r="C283" s="25"/>
      <c r="D283" s="26"/>
    </row>
    <row r="284" spans="1:4" ht="18" x14ac:dyDescent="0.35">
      <c r="A284" s="25"/>
      <c r="B284" s="25"/>
      <c r="C284" s="25"/>
      <c r="D284" s="26"/>
    </row>
    <row r="285" spans="1:4" ht="18" x14ac:dyDescent="0.35">
      <c r="A285" s="25"/>
      <c r="B285" s="25"/>
      <c r="C285" s="25"/>
      <c r="D285" s="26"/>
    </row>
    <row r="286" spans="1:4" ht="18" x14ac:dyDescent="0.35">
      <c r="A286" s="25"/>
      <c r="B286" s="25"/>
      <c r="C286" s="25"/>
      <c r="D286" s="26"/>
    </row>
    <row r="287" spans="1:4" ht="18" x14ac:dyDescent="0.35">
      <c r="A287" s="25"/>
      <c r="B287" s="25"/>
      <c r="C287" s="25"/>
      <c r="D287" s="26"/>
    </row>
    <row r="288" spans="1:4" ht="18" x14ac:dyDescent="0.35">
      <c r="A288" s="25"/>
      <c r="B288" s="25"/>
      <c r="C288" s="25"/>
      <c r="D288" s="26"/>
    </row>
    <row r="289" spans="1:4" ht="18" x14ac:dyDescent="0.35">
      <c r="A289" s="25"/>
      <c r="B289" s="25"/>
      <c r="C289" s="25"/>
      <c r="D289" s="26"/>
    </row>
    <row r="290" spans="1:4" ht="18" x14ac:dyDescent="0.35">
      <c r="A290" s="25"/>
      <c r="B290" s="25"/>
      <c r="C290" s="25"/>
      <c r="D290" s="26"/>
    </row>
    <row r="291" spans="1:4" ht="18" x14ac:dyDescent="0.35">
      <c r="A291" s="25"/>
      <c r="B291" s="25"/>
      <c r="C291" s="25"/>
      <c r="D291" s="26"/>
    </row>
    <row r="292" spans="1:4" ht="18" x14ac:dyDescent="0.35">
      <c r="A292" s="25"/>
      <c r="B292" s="25"/>
      <c r="C292" s="25"/>
      <c r="D292" s="26"/>
    </row>
    <row r="293" spans="1:4" ht="18" x14ac:dyDescent="0.35">
      <c r="A293" s="25"/>
      <c r="B293" s="25"/>
      <c r="C293" s="25"/>
      <c r="D293" s="26"/>
    </row>
    <row r="294" spans="1:4" ht="18" x14ac:dyDescent="0.35">
      <c r="A294" s="25"/>
      <c r="B294" s="25"/>
      <c r="C294" s="25"/>
      <c r="D294" s="26"/>
    </row>
    <row r="295" spans="1:4" ht="18" x14ac:dyDescent="0.35">
      <c r="A295" s="25"/>
      <c r="B295" s="25"/>
      <c r="C295" s="25"/>
      <c r="D295" s="26"/>
    </row>
    <row r="296" spans="1:4" ht="18" x14ac:dyDescent="0.35">
      <c r="A296" s="25"/>
      <c r="B296" s="25"/>
      <c r="C296" s="25"/>
      <c r="D296" s="26"/>
    </row>
    <row r="297" spans="1:4" ht="18" x14ac:dyDescent="0.35">
      <c r="A297" s="25"/>
      <c r="B297" s="25"/>
      <c r="C297" s="25"/>
      <c r="D297" s="26"/>
    </row>
    <row r="298" spans="1:4" ht="18" x14ac:dyDescent="0.35">
      <c r="A298" s="25"/>
      <c r="B298" s="25"/>
      <c r="C298" s="25"/>
      <c r="D298" s="26"/>
    </row>
    <row r="299" spans="1:4" ht="18" x14ac:dyDescent="0.35">
      <c r="A299" s="25"/>
      <c r="B299" s="25"/>
      <c r="C299" s="25"/>
      <c r="D299" s="26"/>
    </row>
    <row r="300" spans="1:4" ht="18" x14ac:dyDescent="0.35">
      <c r="A300" s="25"/>
      <c r="B300" s="25"/>
      <c r="C300" s="25"/>
      <c r="D300" s="26"/>
    </row>
    <row r="301" spans="1:4" ht="18" x14ac:dyDescent="0.35">
      <c r="A301" s="25"/>
      <c r="B301" s="25"/>
      <c r="C301" s="25"/>
      <c r="D301" s="26"/>
    </row>
    <row r="302" spans="1:4" ht="18" x14ac:dyDescent="0.35">
      <c r="A302" s="25"/>
      <c r="B302" s="25"/>
      <c r="C302" s="25"/>
      <c r="D302" s="26"/>
    </row>
    <row r="303" spans="1:4" ht="18" x14ac:dyDescent="0.35">
      <c r="A303" s="25"/>
      <c r="B303" s="25"/>
      <c r="C303" s="25"/>
      <c r="D303" s="26"/>
    </row>
    <row r="304" spans="1:4" ht="18" x14ac:dyDescent="0.35">
      <c r="A304" s="25"/>
      <c r="B304" s="25"/>
      <c r="C304" s="25"/>
      <c r="D304" s="26"/>
    </row>
    <row r="305" spans="1:4" ht="18" x14ac:dyDescent="0.35">
      <c r="A305" s="25"/>
      <c r="B305" s="25"/>
      <c r="C305" s="25"/>
      <c r="D305" s="26"/>
    </row>
    <row r="306" spans="1:4" ht="18" x14ac:dyDescent="0.35">
      <c r="A306" s="25"/>
      <c r="B306" s="25"/>
      <c r="C306" s="25"/>
      <c r="D306" s="26"/>
    </row>
    <row r="307" spans="1:4" ht="18" x14ac:dyDescent="0.35">
      <c r="A307" s="25"/>
      <c r="B307" s="25"/>
      <c r="C307" s="25"/>
      <c r="D307" s="26"/>
    </row>
    <row r="308" spans="1:4" ht="18" x14ac:dyDescent="0.35">
      <c r="A308" s="25"/>
      <c r="B308" s="25"/>
      <c r="C308" s="25"/>
      <c r="D308" s="26"/>
    </row>
    <row r="309" spans="1:4" ht="18" x14ac:dyDescent="0.35">
      <c r="A309" s="25"/>
      <c r="B309" s="25"/>
      <c r="C309" s="25"/>
      <c r="D309" s="26"/>
    </row>
    <row r="310" spans="1:4" ht="18" x14ac:dyDescent="0.35">
      <c r="A310" s="25"/>
      <c r="B310" s="25"/>
      <c r="C310" s="25"/>
      <c r="D310" s="26"/>
    </row>
    <row r="311" spans="1:4" ht="18" x14ac:dyDescent="0.35">
      <c r="A311" s="25"/>
      <c r="B311" s="25"/>
      <c r="C311" s="25"/>
      <c r="D311" s="26"/>
    </row>
    <row r="312" spans="1:4" ht="18" x14ac:dyDescent="0.35">
      <c r="A312" s="25"/>
      <c r="B312" s="25"/>
      <c r="C312" s="25"/>
      <c r="D312" s="26"/>
    </row>
    <row r="313" spans="1:4" ht="18" x14ac:dyDescent="0.35">
      <c r="A313" s="25"/>
      <c r="B313" s="25"/>
      <c r="C313" s="25"/>
      <c r="D313" s="26"/>
    </row>
    <row r="314" spans="1:4" ht="18" x14ac:dyDescent="0.35">
      <c r="A314" s="25"/>
      <c r="B314" s="25"/>
      <c r="C314" s="25"/>
      <c r="D314" s="26"/>
    </row>
    <row r="315" spans="1:4" ht="18" x14ac:dyDescent="0.35">
      <c r="A315" s="25"/>
      <c r="B315" s="25"/>
      <c r="C315" s="25"/>
      <c r="D315" s="26"/>
    </row>
    <row r="316" spans="1:4" ht="18" x14ac:dyDescent="0.35">
      <c r="A316" s="25"/>
      <c r="B316" s="25"/>
      <c r="C316" s="25"/>
      <c r="D316" s="26"/>
    </row>
    <row r="317" spans="1:4" ht="18" x14ac:dyDescent="0.35">
      <c r="A317" s="25"/>
      <c r="B317" s="25"/>
      <c r="C317" s="25"/>
      <c r="D317" s="26"/>
    </row>
    <row r="318" spans="1:4" ht="18" x14ac:dyDescent="0.35">
      <c r="A318" s="25"/>
      <c r="B318" s="25"/>
      <c r="C318" s="25"/>
      <c r="D318" s="26"/>
    </row>
    <row r="319" spans="1:4" ht="18" x14ac:dyDescent="0.35">
      <c r="A319" s="25"/>
      <c r="B319" s="25"/>
      <c r="C319" s="25"/>
      <c r="D319" s="26"/>
    </row>
    <row r="320" spans="1:4" ht="18" x14ac:dyDescent="0.35">
      <c r="A320" s="25"/>
      <c r="B320" s="25"/>
      <c r="C320" s="25"/>
      <c r="D320" s="26"/>
    </row>
    <row r="321" spans="1:4" ht="18" x14ac:dyDescent="0.35">
      <c r="A321" s="25"/>
      <c r="B321" s="25"/>
      <c r="C321" s="25"/>
      <c r="D321" s="26"/>
    </row>
    <row r="322" spans="1:4" ht="18" x14ac:dyDescent="0.35">
      <c r="A322" s="25"/>
      <c r="B322" s="25"/>
      <c r="C322" s="25"/>
      <c r="D322" s="26"/>
    </row>
    <row r="323" spans="1:4" ht="18" x14ac:dyDescent="0.35">
      <c r="A323" s="25"/>
      <c r="B323" s="25"/>
      <c r="C323" s="25"/>
      <c r="D323" s="26"/>
    </row>
    <row r="324" spans="1:4" ht="18" x14ac:dyDescent="0.35">
      <c r="A324" s="25"/>
      <c r="B324" s="25"/>
      <c r="C324" s="25"/>
      <c r="D324" s="26"/>
    </row>
    <row r="325" spans="1:4" ht="18" x14ac:dyDescent="0.35">
      <c r="A325" s="25"/>
      <c r="B325" s="25"/>
      <c r="C325" s="25"/>
      <c r="D325" s="26"/>
    </row>
    <row r="326" spans="1:4" ht="18" x14ac:dyDescent="0.35">
      <c r="A326" s="25"/>
      <c r="B326" s="25"/>
      <c r="C326" s="25"/>
      <c r="D326" s="26"/>
    </row>
    <row r="327" spans="1:4" ht="18" x14ac:dyDescent="0.35">
      <c r="A327" s="25"/>
      <c r="B327" s="25"/>
      <c r="C327" s="25"/>
      <c r="D327" s="26"/>
    </row>
    <row r="328" spans="1:4" ht="18" x14ac:dyDescent="0.35">
      <c r="A328" s="25"/>
      <c r="B328" s="25"/>
      <c r="C328" s="25"/>
      <c r="D328" s="26"/>
    </row>
    <row r="329" spans="1:4" ht="18" x14ac:dyDescent="0.35">
      <c r="A329" s="25"/>
      <c r="B329" s="25"/>
      <c r="C329" s="25"/>
      <c r="D329" s="26"/>
    </row>
    <row r="330" spans="1:4" ht="18" x14ac:dyDescent="0.35">
      <c r="A330" s="25"/>
      <c r="B330" s="25"/>
      <c r="C330" s="25"/>
      <c r="D330" s="26"/>
    </row>
    <row r="331" spans="1:4" ht="18" x14ac:dyDescent="0.35">
      <c r="A331" s="25"/>
      <c r="B331" s="25"/>
      <c r="C331" s="25"/>
      <c r="D331" s="26"/>
    </row>
    <row r="332" spans="1:4" ht="18" x14ac:dyDescent="0.35">
      <c r="A332" s="25"/>
      <c r="B332" s="25"/>
      <c r="C332" s="25"/>
      <c r="D332" s="26"/>
    </row>
    <row r="333" spans="1:4" ht="18" x14ac:dyDescent="0.35">
      <c r="A333" s="25"/>
      <c r="B333" s="25"/>
      <c r="C333" s="25"/>
      <c r="D333" s="26"/>
    </row>
    <row r="334" spans="1:4" ht="18" x14ac:dyDescent="0.35">
      <c r="A334" s="25"/>
      <c r="B334" s="25"/>
      <c r="C334" s="25"/>
      <c r="D334" s="26"/>
    </row>
    <row r="335" spans="1:4" ht="18" x14ac:dyDescent="0.35">
      <c r="A335" s="25"/>
      <c r="B335" s="25"/>
      <c r="C335" s="25"/>
      <c r="D335" s="26"/>
    </row>
    <row r="336" spans="1:4" ht="18" x14ac:dyDescent="0.35">
      <c r="A336" s="25"/>
      <c r="B336" s="25"/>
      <c r="C336" s="25"/>
      <c r="D336" s="26"/>
    </row>
    <row r="337" spans="1:4" ht="18" x14ac:dyDescent="0.35">
      <c r="A337" s="25"/>
      <c r="B337" s="25"/>
      <c r="C337" s="25"/>
      <c r="D337" s="26"/>
    </row>
    <row r="338" spans="1:4" ht="18" x14ac:dyDescent="0.35">
      <c r="A338" s="25"/>
      <c r="B338" s="25"/>
      <c r="C338" s="25"/>
      <c r="D338" s="26"/>
    </row>
    <row r="339" spans="1:4" ht="18" x14ac:dyDescent="0.35">
      <c r="A339" s="25"/>
      <c r="B339" s="25"/>
      <c r="C339" s="25"/>
      <c r="D339" s="26"/>
    </row>
    <row r="340" spans="1:4" ht="18" x14ac:dyDescent="0.35">
      <c r="A340" s="25"/>
      <c r="B340" s="25"/>
      <c r="C340" s="25"/>
      <c r="D340" s="26"/>
    </row>
    <row r="341" spans="1:4" ht="18" x14ac:dyDescent="0.35">
      <c r="A341" s="25"/>
      <c r="B341" s="25"/>
      <c r="C341" s="25"/>
      <c r="D341" s="26"/>
    </row>
    <row r="342" spans="1:4" ht="18" x14ac:dyDescent="0.35">
      <c r="A342" s="25"/>
      <c r="B342" s="25"/>
      <c r="C342" s="25"/>
      <c r="D342" s="26"/>
    </row>
    <row r="343" spans="1:4" ht="18" x14ac:dyDescent="0.35">
      <c r="A343" s="25"/>
      <c r="B343" s="25"/>
      <c r="C343" s="25"/>
      <c r="D343" s="26"/>
    </row>
    <row r="344" spans="1:4" ht="18" x14ac:dyDescent="0.35">
      <c r="A344" s="25"/>
      <c r="B344" s="25"/>
      <c r="C344" s="25"/>
      <c r="D344" s="26"/>
    </row>
    <row r="345" spans="1:4" ht="18" x14ac:dyDescent="0.35">
      <c r="A345" s="25"/>
      <c r="B345" s="25"/>
      <c r="C345" s="25"/>
      <c r="D345" s="26"/>
    </row>
    <row r="346" spans="1:4" ht="18" x14ac:dyDescent="0.35">
      <c r="A346" s="25"/>
      <c r="B346" s="25"/>
      <c r="C346" s="25"/>
      <c r="D346" s="26"/>
    </row>
    <row r="347" spans="1:4" ht="18" x14ac:dyDescent="0.35">
      <c r="A347" s="25"/>
      <c r="B347" s="25"/>
      <c r="C347" s="25"/>
      <c r="D347" s="26"/>
    </row>
    <row r="348" spans="1:4" ht="18" x14ac:dyDescent="0.35">
      <c r="A348" s="25"/>
      <c r="B348" s="25"/>
      <c r="C348" s="25"/>
      <c r="D348" s="26"/>
    </row>
    <row r="349" spans="1:4" ht="18" x14ac:dyDescent="0.35">
      <c r="A349" s="25"/>
      <c r="B349" s="25"/>
      <c r="C349" s="25"/>
      <c r="D349" s="26"/>
    </row>
    <row r="350" spans="1:4" ht="18" x14ac:dyDescent="0.35">
      <c r="A350" s="25"/>
      <c r="B350" s="25"/>
      <c r="C350" s="25"/>
      <c r="D350" s="26"/>
    </row>
    <row r="351" spans="1:4" ht="18" x14ac:dyDescent="0.35">
      <c r="A351" s="25"/>
      <c r="B351" s="25"/>
      <c r="C351" s="25"/>
      <c r="D351" s="26"/>
    </row>
    <row r="352" spans="1:4" ht="18" x14ac:dyDescent="0.35">
      <c r="A352" s="25"/>
      <c r="B352" s="25"/>
      <c r="C352" s="25"/>
      <c r="D352" s="26"/>
    </row>
    <row r="353" spans="1:4" ht="18" x14ac:dyDescent="0.35">
      <c r="A353" s="25"/>
      <c r="B353" s="25"/>
      <c r="C353" s="25"/>
      <c r="D353" s="26"/>
    </row>
    <row r="354" spans="1:4" ht="18" x14ac:dyDescent="0.35">
      <c r="A354" s="25"/>
      <c r="B354" s="25"/>
      <c r="C354" s="25"/>
      <c r="D354" s="26"/>
    </row>
    <row r="355" spans="1:4" ht="18" x14ac:dyDescent="0.35">
      <c r="A355" s="25"/>
      <c r="B355" s="25"/>
      <c r="C355" s="25"/>
      <c r="D355" s="26"/>
    </row>
    <row r="356" spans="1:4" ht="18" x14ac:dyDescent="0.35">
      <c r="A356" s="25"/>
      <c r="B356" s="25"/>
      <c r="C356" s="25"/>
      <c r="D356" s="26"/>
    </row>
    <row r="357" spans="1:4" ht="18" x14ac:dyDescent="0.35">
      <c r="A357" s="25"/>
      <c r="B357" s="25"/>
      <c r="C357" s="25"/>
      <c r="D357" s="26"/>
    </row>
    <row r="358" spans="1:4" ht="18" x14ac:dyDescent="0.35">
      <c r="A358" s="25"/>
      <c r="B358" s="25"/>
      <c r="C358" s="25"/>
      <c r="D358" s="26"/>
    </row>
    <row r="359" spans="1:4" ht="18" x14ac:dyDescent="0.35">
      <c r="A359" s="25"/>
      <c r="B359" s="25"/>
      <c r="C359" s="25"/>
      <c r="D359" s="26"/>
    </row>
    <row r="360" spans="1:4" ht="18" x14ac:dyDescent="0.35">
      <c r="A360" s="25"/>
      <c r="B360" s="25"/>
      <c r="C360" s="25"/>
      <c r="D360" s="26"/>
    </row>
    <row r="361" spans="1:4" ht="18" x14ac:dyDescent="0.35">
      <c r="A361" s="25"/>
      <c r="B361" s="25"/>
      <c r="C361" s="25"/>
      <c r="D361" s="26"/>
    </row>
    <row r="362" spans="1:4" ht="18" x14ac:dyDescent="0.35">
      <c r="A362" s="25"/>
      <c r="B362" s="25"/>
      <c r="C362" s="25"/>
      <c r="D362" s="26"/>
    </row>
    <row r="363" spans="1:4" ht="18" x14ac:dyDescent="0.35">
      <c r="A363" s="25"/>
      <c r="B363" s="25"/>
      <c r="C363" s="25"/>
      <c r="D363" s="26"/>
    </row>
    <row r="364" spans="1:4" ht="18" x14ac:dyDescent="0.35">
      <c r="A364" s="25"/>
      <c r="B364" s="25"/>
      <c r="C364" s="25"/>
      <c r="D364" s="26"/>
    </row>
    <row r="365" spans="1:4" ht="18" x14ac:dyDescent="0.35">
      <c r="A365" s="25"/>
      <c r="B365" s="25"/>
      <c r="C365" s="25"/>
      <c r="D365" s="26"/>
    </row>
    <row r="366" spans="1:4" ht="18" x14ac:dyDescent="0.35">
      <c r="A366" s="25"/>
      <c r="B366" s="25"/>
      <c r="C366" s="25"/>
      <c r="D366" s="26"/>
    </row>
    <row r="367" spans="1:4" ht="18" x14ac:dyDescent="0.35">
      <c r="A367" s="25"/>
      <c r="B367" s="25"/>
      <c r="C367" s="25"/>
      <c r="D367" s="26"/>
    </row>
    <row r="368" spans="1:4" ht="18" x14ac:dyDescent="0.35">
      <c r="A368" s="25"/>
      <c r="B368" s="25"/>
      <c r="C368" s="25"/>
      <c r="D368" s="26"/>
    </row>
    <row r="369" spans="1:4" ht="18" x14ac:dyDescent="0.35">
      <c r="A369" s="25"/>
      <c r="B369" s="25"/>
      <c r="C369" s="25"/>
      <c r="D369" s="26"/>
    </row>
    <row r="370" spans="1:4" ht="18" x14ac:dyDescent="0.35">
      <c r="A370" s="25"/>
      <c r="B370" s="25"/>
      <c r="C370" s="25"/>
      <c r="D370" s="26"/>
    </row>
    <row r="371" spans="1:4" ht="18" x14ac:dyDescent="0.35">
      <c r="A371" s="25"/>
      <c r="B371" s="25"/>
      <c r="C371" s="25"/>
      <c r="D371" s="26"/>
    </row>
    <row r="372" spans="1:4" ht="18" x14ac:dyDescent="0.35">
      <c r="A372" s="25"/>
      <c r="B372" s="25"/>
      <c r="C372" s="25"/>
      <c r="D372" s="26"/>
    </row>
    <row r="373" spans="1:4" ht="18" x14ac:dyDescent="0.35">
      <c r="A373" s="25"/>
      <c r="B373" s="25"/>
      <c r="C373" s="25"/>
      <c r="D373" s="26"/>
    </row>
    <row r="374" spans="1:4" ht="18" x14ac:dyDescent="0.35">
      <c r="A374" s="25"/>
      <c r="B374" s="25"/>
      <c r="C374" s="25"/>
      <c r="D374" s="26"/>
    </row>
    <row r="375" spans="1:4" ht="18" x14ac:dyDescent="0.35">
      <c r="A375" s="25"/>
      <c r="B375" s="25"/>
      <c r="C375" s="25"/>
      <c r="D375" s="26"/>
    </row>
    <row r="376" spans="1:4" ht="18" x14ac:dyDescent="0.35">
      <c r="A376" s="25"/>
      <c r="B376" s="25"/>
      <c r="C376" s="25"/>
      <c r="D376" s="26"/>
    </row>
    <row r="377" spans="1:4" ht="18" x14ac:dyDescent="0.35">
      <c r="A377" s="25"/>
      <c r="B377" s="25"/>
      <c r="C377" s="25"/>
      <c r="D377" s="26"/>
    </row>
    <row r="378" spans="1:4" ht="18" x14ac:dyDescent="0.35">
      <c r="A378" s="25"/>
      <c r="B378" s="25"/>
      <c r="C378" s="25"/>
      <c r="D378" s="26"/>
    </row>
    <row r="379" spans="1:4" ht="18" x14ac:dyDescent="0.35">
      <c r="A379" s="25"/>
      <c r="B379" s="25"/>
      <c r="C379" s="25"/>
      <c r="D379" s="26"/>
    </row>
    <row r="380" spans="1:4" ht="18" x14ac:dyDescent="0.35">
      <c r="A380" s="25"/>
      <c r="B380" s="25"/>
      <c r="C380" s="25"/>
      <c r="D380" s="26"/>
    </row>
    <row r="381" spans="1:4" ht="18" x14ac:dyDescent="0.35">
      <c r="A381" s="25"/>
      <c r="B381" s="25"/>
      <c r="C381" s="25"/>
      <c r="D381" s="26"/>
    </row>
    <row r="382" spans="1:4" ht="18" x14ac:dyDescent="0.35">
      <c r="A382" s="25"/>
      <c r="B382" s="25"/>
      <c r="C382" s="25"/>
      <c r="D382" s="26"/>
    </row>
    <row r="383" spans="1:4" ht="18" x14ac:dyDescent="0.35">
      <c r="A383" s="25"/>
      <c r="B383" s="25"/>
      <c r="C383" s="25"/>
      <c r="D383" s="26"/>
    </row>
    <row r="384" spans="1:4" ht="18" x14ac:dyDescent="0.35">
      <c r="A384" s="25"/>
      <c r="B384" s="25"/>
      <c r="C384" s="25"/>
      <c r="D384" s="26"/>
    </row>
    <row r="385" spans="1:4" ht="18" x14ac:dyDescent="0.35">
      <c r="A385" s="25"/>
      <c r="B385" s="25"/>
      <c r="C385" s="25"/>
      <c r="D385" s="26"/>
    </row>
    <row r="386" spans="1:4" ht="18" x14ac:dyDescent="0.35">
      <c r="A386" s="25"/>
      <c r="B386" s="25"/>
      <c r="C386" s="25"/>
      <c r="D386" s="26"/>
    </row>
    <row r="387" spans="1:4" ht="18" x14ac:dyDescent="0.35">
      <c r="A387" s="25"/>
      <c r="B387" s="25"/>
      <c r="C387" s="25"/>
      <c r="D387" s="26"/>
    </row>
    <row r="388" spans="1:4" ht="18" x14ac:dyDescent="0.35">
      <c r="A388" s="25"/>
      <c r="B388" s="25"/>
      <c r="C388" s="25"/>
      <c r="D388" s="26"/>
    </row>
    <row r="389" spans="1:4" ht="18" x14ac:dyDescent="0.35">
      <c r="A389" s="25"/>
      <c r="B389" s="25"/>
      <c r="C389" s="25"/>
      <c r="D389" s="26"/>
    </row>
    <row r="390" spans="1:4" ht="18" x14ac:dyDescent="0.35">
      <c r="A390" s="25"/>
      <c r="B390" s="25"/>
      <c r="C390" s="25"/>
      <c r="D390" s="26"/>
    </row>
    <row r="391" spans="1:4" ht="18" x14ac:dyDescent="0.35">
      <c r="A391" s="25"/>
      <c r="B391" s="25"/>
      <c r="C391" s="25"/>
      <c r="D391" s="26"/>
    </row>
    <row r="392" spans="1:4" ht="18" x14ac:dyDescent="0.35">
      <c r="A392" s="25"/>
      <c r="B392" s="25"/>
      <c r="C392" s="25"/>
      <c r="D392" s="26"/>
    </row>
    <row r="393" spans="1:4" ht="18" x14ac:dyDescent="0.35">
      <c r="A393" s="25"/>
      <c r="B393" s="25"/>
      <c r="C393" s="25"/>
      <c r="D393" s="26"/>
    </row>
    <row r="394" spans="1:4" ht="18" x14ac:dyDescent="0.35">
      <c r="A394" s="25"/>
      <c r="B394" s="25"/>
      <c r="C394" s="25"/>
      <c r="D394" s="26"/>
    </row>
    <row r="395" spans="1:4" ht="18" x14ac:dyDescent="0.35">
      <c r="A395" s="25"/>
      <c r="B395" s="25"/>
      <c r="C395" s="25"/>
      <c r="D395" s="26"/>
    </row>
    <row r="396" spans="1:4" ht="18" x14ac:dyDescent="0.35">
      <c r="A396" s="25"/>
      <c r="B396" s="25"/>
      <c r="C396" s="25"/>
      <c r="D396" s="26"/>
    </row>
    <row r="397" spans="1:4" ht="18" x14ac:dyDescent="0.35">
      <c r="A397" s="25"/>
      <c r="B397" s="25"/>
      <c r="C397" s="25"/>
      <c r="D397" s="26"/>
    </row>
    <row r="398" spans="1:4" ht="18" x14ac:dyDescent="0.35">
      <c r="A398" s="25"/>
      <c r="B398" s="25"/>
      <c r="C398" s="25"/>
      <c r="D398" s="26"/>
    </row>
    <row r="399" spans="1:4" ht="18" x14ac:dyDescent="0.35">
      <c r="A399" s="25"/>
      <c r="B399" s="25"/>
      <c r="C399" s="25"/>
      <c r="D399" s="26"/>
    </row>
    <row r="400" spans="1:4" ht="18" x14ac:dyDescent="0.35">
      <c r="A400" s="25"/>
      <c r="B400" s="25"/>
      <c r="C400" s="25"/>
      <c r="D400" s="26"/>
    </row>
    <row r="401" spans="1:4" ht="18" x14ac:dyDescent="0.35">
      <c r="A401" s="25"/>
      <c r="B401" s="25"/>
      <c r="C401" s="25"/>
      <c r="D401" s="26"/>
    </row>
    <row r="402" spans="1:4" ht="18" x14ac:dyDescent="0.35">
      <c r="A402" s="25"/>
      <c r="B402" s="25"/>
      <c r="C402" s="25"/>
      <c r="D402" s="26"/>
    </row>
    <row r="403" spans="1:4" ht="18" x14ac:dyDescent="0.35">
      <c r="A403" s="25"/>
      <c r="B403" s="25"/>
      <c r="C403" s="25"/>
      <c r="D403" s="26"/>
    </row>
    <row r="404" spans="1:4" ht="18" x14ac:dyDescent="0.35">
      <c r="A404" s="25"/>
      <c r="B404" s="25"/>
      <c r="C404" s="25"/>
      <c r="D404" s="26"/>
    </row>
    <row r="405" spans="1:4" ht="18" x14ac:dyDescent="0.35">
      <c r="A405" s="25"/>
      <c r="B405" s="25"/>
      <c r="C405" s="25"/>
      <c r="D405" s="26"/>
    </row>
    <row r="406" spans="1:4" ht="18" x14ac:dyDescent="0.35">
      <c r="A406" s="25"/>
      <c r="B406" s="25"/>
      <c r="C406" s="25"/>
      <c r="D406" s="26"/>
    </row>
    <row r="407" spans="1:4" ht="18" x14ac:dyDescent="0.35">
      <c r="A407" s="25"/>
      <c r="B407" s="25"/>
      <c r="C407" s="25"/>
      <c r="D407" s="26"/>
    </row>
    <row r="408" spans="1:4" ht="18" x14ac:dyDescent="0.35">
      <c r="A408" s="25"/>
      <c r="B408" s="25"/>
      <c r="C408" s="25"/>
      <c r="D408" s="26"/>
    </row>
    <row r="409" spans="1:4" ht="18" x14ac:dyDescent="0.35">
      <c r="A409" s="25"/>
      <c r="B409" s="25"/>
      <c r="C409" s="25"/>
      <c r="D409" s="26"/>
    </row>
    <row r="410" spans="1:4" ht="18" x14ac:dyDescent="0.35">
      <c r="A410" s="25"/>
      <c r="B410" s="25"/>
      <c r="C410" s="25"/>
      <c r="D410" s="26"/>
    </row>
    <row r="411" spans="1:4" ht="18" x14ac:dyDescent="0.35">
      <c r="A411" s="25"/>
      <c r="B411" s="25"/>
      <c r="C411" s="25"/>
      <c r="D411" s="26"/>
    </row>
    <row r="412" spans="1:4" ht="18" x14ac:dyDescent="0.35">
      <c r="A412" s="25"/>
      <c r="B412" s="25"/>
      <c r="C412" s="25"/>
      <c r="D412" s="26"/>
    </row>
    <row r="413" spans="1:4" ht="18" x14ac:dyDescent="0.35">
      <c r="A413" s="25"/>
      <c r="B413" s="25"/>
      <c r="C413" s="25"/>
      <c r="D413" s="26"/>
    </row>
    <row r="414" spans="1:4" ht="18" x14ac:dyDescent="0.35">
      <c r="A414" s="25"/>
      <c r="B414" s="25"/>
      <c r="C414" s="25"/>
      <c r="D414" s="26"/>
    </row>
    <row r="415" spans="1:4" ht="18" x14ac:dyDescent="0.35">
      <c r="A415" s="25"/>
      <c r="B415" s="25"/>
      <c r="C415" s="25"/>
      <c r="D415" s="26"/>
    </row>
    <row r="416" spans="1:4" ht="18" x14ac:dyDescent="0.35">
      <c r="A416" s="25"/>
      <c r="B416" s="25"/>
      <c r="C416" s="25"/>
      <c r="D416" s="26"/>
    </row>
    <row r="417" spans="1:4" ht="18" x14ac:dyDescent="0.35">
      <c r="A417" s="25"/>
      <c r="B417" s="25"/>
      <c r="C417" s="25"/>
      <c r="D417" s="26"/>
    </row>
    <row r="418" spans="1:4" ht="18" x14ac:dyDescent="0.35">
      <c r="A418" s="25"/>
      <c r="B418" s="25"/>
      <c r="C418" s="25"/>
      <c r="D418" s="26"/>
    </row>
    <row r="419" spans="1:4" ht="18" x14ac:dyDescent="0.35">
      <c r="A419" s="25"/>
      <c r="B419" s="25"/>
      <c r="C419" s="25"/>
      <c r="D419" s="26"/>
    </row>
    <row r="420" spans="1:4" ht="18" x14ac:dyDescent="0.35">
      <c r="A420" s="25"/>
      <c r="B420" s="25"/>
      <c r="C420" s="25"/>
      <c r="D420" s="26"/>
    </row>
    <row r="421" spans="1:4" ht="18" x14ac:dyDescent="0.35">
      <c r="A421" s="25"/>
      <c r="B421" s="25"/>
      <c r="C421" s="25"/>
      <c r="D421" s="26"/>
    </row>
    <row r="422" spans="1:4" ht="18" x14ac:dyDescent="0.35">
      <c r="A422" s="25"/>
      <c r="B422" s="25"/>
      <c r="C422" s="25"/>
      <c r="D422" s="26"/>
    </row>
    <row r="423" spans="1:4" ht="18" x14ac:dyDescent="0.35">
      <c r="A423" s="25"/>
      <c r="B423" s="25"/>
      <c r="C423" s="25"/>
      <c r="D423" s="26"/>
    </row>
    <row r="424" spans="1:4" ht="18" x14ac:dyDescent="0.35">
      <c r="A424" s="25"/>
      <c r="B424" s="25"/>
      <c r="C424" s="25"/>
      <c r="D424" s="26"/>
    </row>
    <row r="425" spans="1:4" ht="18" x14ac:dyDescent="0.35">
      <c r="A425" s="25"/>
      <c r="B425" s="25"/>
      <c r="C425" s="25"/>
      <c r="D425" s="26"/>
    </row>
    <row r="426" spans="1:4" ht="18" x14ac:dyDescent="0.35">
      <c r="A426" s="25"/>
      <c r="B426" s="25"/>
      <c r="C426" s="25"/>
      <c r="D426" s="26"/>
    </row>
    <row r="427" spans="1:4" ht="18" x14ac:dyDescent="0.35">
      <c r="A427" s="25"/>
      <c r="B427" s="25"/>
      <c r="C427" s="25"/>
      <c r="D427" s="26"/>
    </row>
    <row r="428" spans="1:4" ht="18" x14ac:dyDescent="0.35">
      <c r="A428" s="25"/>
      <c r="B428" s="25"/>
      <c r="C428" s="25"/>
      <c r="D428" s="26"/>
    </row>
    <row r="429" spans="1:4" ht="18" x14ac:dyDescent="0.35">
      <c r="A429" s="25"/>
      <c r="B429" s="25"/>
      <c r="C429" s="25"/>
      <c r="D429" s="26"/>
    </row>
    <row r="430" spans="1:4" ht="18" x14ac:dyDescent="0.35">
      <c r="A430" s="25"/>
      <c r="B430" s="25"/>
      <c r="C430" s="25"/>
      <c r="D430" s="26"/>
    </row>
    <row r="431" spans="1:4" ht="18" x14ac:dyDescent="0.35">
      <c r="A431" s="25"/>
      <c r="B431" s="25"/>
      <c r="C431" s="25"/>
      <c r="D431" s="26"/>
    </row>
    <row r="432" spans="1:4" ht="18" x14ac:dyDescent="0.35">
      <c r="A432" s="25"/>
      <c r="B432" s="25"/>
      <c r="C432" s="25"/>
      <c r="D432" s="26"/>
    </row>
    <row r="433" spans="1:4" ht="18" x14ac:dyDescent="0.35">
      <c r="A433" s="25"/>
      <c r="B433" s="25"/>
      <c r="C433" s="25"/>
      <c r="D433" s="26"/>
    </row>
    <row r="434" spans="1:4" ht="18" x14ac:dyDescent="0.35">
      <c r="A434" s="25"/>
      <c r="B434" s="25"/>
      <c r="C434" s="25"/>
      <c r="D434" s="26"/>
    </row>
    <row r="435" spans="1:4" ht="18" x14ac:dyDescent="0.35">
      <c r="A435" s="25"/>
      <c r="B435" s="25"/>
      <c r="C435" s="25"/>
      <c r="D435" s="26"/>
    </row>
    <row r="436" spans="1:4" ht="18" x14ac:dyDescent="0.35">
      <c r="A436" s="25"/>
      <c r="B436" s="25"/>
      <c r="C436" s="25"/>
      <c r="D436" s="26"/>
    </row>
    <row r="437" spans="1:4" ht="18" x14ac:dyDescent="0.35">
      <c r="A437" s="25"/>
      <c r="B437" s="25"/>
      <c r="C437" s="25"/>
      <c r="D437" s="26"/>
    </row>
    <row r="438" spans="1:4" ht="18" x14ac:dyDescent="0.35">
      <c r="A438" s="25"/>
      <c r="B438" s="25"/>
      <c r="C438" s="25"/>
      <c r="D438" s="26"/>
    </row>
    <row r="439" spans="1:4" ht="18" x14ac:dyDescent="0.35">
      <c r="A439" s="25"/>
      <c r="B439" s="25"/>
      <c r="C439" s="25"/>
      <c r="D439" s="26"/>
    </row>
    <row r="440" spans="1:4" ht="18" x14ac:dyDescent="0.35">
      <c r="A440" s="25"/>
      <c r="B440" s="25"/>
      <c r="C440" s="25"/>
      <c r="D440" s="26"/>
    </row>
    <row r="441" spans="1:4" ht="18" x14ac:dyDescent="0.35">
      <c r="A441" s="25"/>
      <c r="B441" s="25"/>
      <c r="C441" s="25"/>
      <c r="D441" s="26"/>
    </row>
    <row r="442" spans="1:4" ht="18" x14ac:dyDescent="0.35">
      <c r="A442" s="25"/>
      <c r="B442" s="25"/>
      <c r="C442" s="25"/>
      <c r="D442" s="26"/>
    </row>
    <row r="443" spans="1:4" ht="18" x14ac:dyDescent="0.35">
      <c r="A443" s="25"/>
      <c r="B443" s="25"/>
      <c r="C443" s="25"/>
      <c r="D443" s="26"/>
    </row>
    <row r="444" spans="1:4" ht="18" x14ac:dyDescent="0.35">
      <c r="A444" s="25"/>
      <c r="B444" s="25"/>
      <c r="C444" s="25"/>
      <c r="D444" s="26"/>
    </row>
    <row r="445" spans="1:4" ht="18" x14ac:dyDescent="0.35">
      <c r="A445" s="25"/>
      <c r="B445" s="25"/>
      <c r="C445" s="25"/>
      <c r="D445" s="26"/>
    </row>
    <row r="446" spans="1:4" ht="18" x14ac:dyDescent="0.35">
      <c r="A446" s="25"/>
      <c r="B446" s="25"/>
      <c r="C446" s="25"/>
      <c r="D446" s="26"/>
    </row>
    <row r="447" spans="1:4" ht="18" x14ac:dyDescent="0.35">
      <c r="A447" s="25"/>
      <c r="B447" s="25"/>
      <c r="C447" s="25"/>
      <c r="D447" s="26"/>
    </row>
    <row r="448" spans="1:4" ht="18" x14ac:dyDescent="0.35">
      <c r="A448" s="25"/>
      <c r="B448" s="25"/>
      <c r="C448" s="25"/>
      <c r="D448" s="26"/>
    </row>
    <row r="449" spans="1:4" ht="18" x14ac:dyDescent="0.35">
      <c r="A449" s="25"/>
      <c r="B449" s="25"/>
      <c r="C449" s="25"/>
      <c r="D449" s="26"/>
    </row>
    <row r="450" spans="1:4" ht="18" x14ac:dyDescent="0.35">
      <c r="A450" s="25"/>
      <c r="B450" s="25"/>
      <c r="C450" s="25"/>
      <c r="D450" s="26"/>
    </row>
    <row r="451" spans="1:4" ht="18" x14ac:dyDescent="0.35">
      <c r="A451" s="25"/>
      <c r="B451" s="25"/>
      <c r="C451" s="25"/>
      <c r="D451" s="26"/>
    </row>
    <row r="452" spans="1:4" ht="18" x14ac:dyDescent="0.35">
      <c r="A452" s="25"/>
      <c r="B452" s="25"/>
      <c r="C452" s="25"/>
      <c r="D452" s="26"/>
    </row>
    <row r="453" spans="1:4" ht="18" x14ac:dyDescent="0.35">
      <c r="A453" s="25"/>
      <c r="B453" s="25"/>
      <c r="C453" s="25"/>
      <c r="D453" s="26"/>
    </row>
    <row r="454" spans="1:4" ht="18" x14ac:dyDescent="0.35">
      <c r="A454" s="25"/>
      <c r="B454" s="25"/>
      <c r="C454" s="25"/>
      <c r="D454" s="26"/>
    </row>
    <row r="455" spans="1:4" ht="18" x14ac:dyDescent="0.35">
      <c r="A455" s="25"/>
      <c r="B455" s="25"/>
      <c r="C455" s="25"/>
      <c r="D455" s="26"/>
    </row>
    <row r="456" spans="1:4" ht="18" x14ac:dyDescent="0.35">
      <c r="A456" s="25"/>
      <c r="B456" s="25"/>
      <c r="C456" s="25"/>
      <c r="D456" s="26"/>
    </row>
    <row r="457" spans="1:4" ht="18" x14ac:dyDescent="0.35">
      <c r="A457" s="25"/>
      <c r="B457" s="25"/>
      <c r="C457" s="25"/>
      <c r="D457" s="26"/>
    </row>
    <row r="458" spans="1:4" ht="18" x14ac:dyDescent="0.35">
      <c r="A458" s="25"/>
      <c r="B458" s="25"/>
      <c r="C458" s="25"/>
      <c r="D458" s="26"/>
    </row>
    <row r="459" spans="1:4" ht="18" x14ac:dyDescent="0.35">
      <c r="A459" s="25"/>
      <c r="B459" s="25"/>
      <c r="C459" s="25"/>
      <c r="D459" s="26"/>
    </row>
    <row r="460" spans="1:4" ht="18" x14ac:dyDescent="0.35">
      <c r="A460" s="25"/>
      <c r="B460" s="25"/>
      <c r="C460" s="25"/>
      <c r="D460" s="26"/>
    </row>
    <row r="461" spans="1:4" ht="18" x14ac:dyDescent="0.35">
      <c r="A461" s="25"/>
      <c r="B461" s="25"/>
      <c r="C461" s="25"/>
      <c r="D461" s="26"/>
    </row>
    <row r="462" spans="1:4" ht="18" x14ac:dyDescent="0.35">
      <c r="A462" s="25"/>
      <c r="B462" s="25"/>
      <c r="C462" s="25"/>
      <c r="D462" s="26"/>
    </row>
    <row r="463" spans="1:4" ht="18" x14ac:dyDescent="0.35">
      <c r="A463" s="25"/>
      <c r="B463" s="25"/>
      <c r="C463" s="25"/>
      <c r="D463" s="26"/>
    </row>
    <row r="464" spans="1:4" ht="18" x14ac:dyDescent="0.35">
      <c r="A464" s="25"/>
      <c r="B464" s="25"/>
      <c r="C464" s="25"/>
      <c r="D464" s="26"/>
    </row>
    <row r="465" spans="1:4" ht="18" x14ac:dyDescent="0.35">
      <c r="A465" s="25"/>
      <c r="B465" s="25"/>
      <c r="C465" s="25"/>
      <c r="D465" s="26"/>
    </row>
    <row r="466" spans="1:4" ht="18" x14ac:dyDescent="0.35">
      <c r="A466" s="25"/>
      <c r="B466" s="25"/>
      <c r="C466" s="25"/>
      <c r="D466" s="26"/>
    </row>
    <row r="467" spans="1:4" ht="18" x14ac:dyDescent="0.35">
      <c r="A467" s="25"/>
      <c r="B467" s="25"/>
      <c r="C467" s="25"/>
      <c r="D467" s="26"/>
    </row>
    <row r="468" spans="1:4" ht="18" x14ac:dyDescent="0.35">
      <c r="A468" s="25"/>
      <c r="B468" s="25"/>
      <c r="C468" s="25"/>
      <c r="D468" s="26"/>
    </row>
    <row r="469" spans="1:4" ht="18" x14ac:dyDescent="0.35">
      <c r="A469" s="25"/>
      <c r="B469" s="25"/>
      <c r="C469" s="25"/>
      <c r="D469" s="26"/>
    </row>
    <row r="470" spans="1:4" ht="18" x14ac:dyDescent="0.35">
      <c r="A470" s="25"/>
      <c r="B470" s="25"/>
      <c r="C470" s="25"/>
      <c r="D470" s="26"/>
    </row>
    <row r="471" spans="1:4" ht="18" x14ac:dyDescent="0.35">
      <c r="A471" s="25"/>
      <c r="B471" s="25"/>
      <c r="C471" s="25"/>
      <c r="D471" s="26"/>
    </row>
    <row r="472" spans="1:4" ht="18" x14ac:dyDescent="0.35">
      <c r="A472" s="25"/>
      <c r="B472" s="25"/>
      <c r="C472" s="25"/>
      <c r="D472" s="26"/>
    </row>
    <row r="473" spans="1:4" ht="18" x14ac:dyDescent="0.35">
      <c r="A473" s="25"/>
      <c r="B473" s="25"/>
      <c r="C473" s="25"/>
      <c r="D473" s="26"/>
    </row>
    <row r="474" spans="1:4" ht="18" x14ac:dyDescent="0.35">
      <c r="A474" s="25"/>
      <c r="B474" s="25"/>
      <c r="C474" s="25"/>
      <c r="D474" s="26"/>
    </row>
    <row r="475" spans="1:4" ht="18" x14ac:dyDescent="0.35">
      <c r="A475" s="25"/>
      <c r="B475" s="25"/>
      <c r="C475" s="25"/>
      <c r="D475" s="26"/>
    </row>
    <row r="476" spans="1:4" ht="18" x14ac:dyDescent="0.35">
      <c r="A476" s="25"/>
      <c r="B476" s="25"/>
      <c r="C476" s="25"/>
      <c r="D476" s="26"/>
    </row>
    <row r="477" spans="1:4" ht="18" x14ac:dyDescent="0.35">
      <c r="A477" s="25"/>
      <c r="B477" s="25"/>
      <c r="C477" s="25"/>
      <c r="D477" s="26"/>
    </row>
    <row r="478" spans="1:4" ht="18" x14ac:dyDescent="0.35">
      <c r="A478" s="25"/>
      <c r="B478" s="25"/>
      <c r="C478" s="25"/>
      <c r="D478" s="26"/>
    </row>
    <row r="479" spans="1:4" ht="18" x14ac:dyDescent="0.35">
      <c r="A479" s="25"/>
      <c r="B479" s="25"/>
      <c r="C479" s="25"/>
      <c r="D479" s="26"/>
    </row>
    <row r="480" spans="1:4" ht="18" x14ac:dyDescent="0.35">
      <c r="A480" s="25"/>
      <c r="B480" s="25"/>
      <c r="C480" s="25"/>
      <c r="D480" s="26"/>
    </row>
    <row r="481" spans="1:4" ht="18" x14ac:dyDescent="0.35">
      <c r="A481" s="25"/>
      <c r="B481" s="25"/>
      <c r="C481" s="25"/>
      <c r="D481" s="26"/>
    </row>
    <row r="482" spans="1:4" ht="18" x14ac:dyDescent="0.35">
      <c r="A482" s="25"/>
      <c r="B482" s="25"/>
      <c r="C482" s="25"/>
      <c r="D482" s="26"/>
    </row>
    <row r="483" spans="1:4" ht="18" x14ac:dyDescent="0.35">
      <c r="A483" s="25"/>
      <c r="B483" s="25"/>
      <c r="C483" s="25"/>
      <c r="D483" s="26"/>
    </row>
    <row r="484" spans="1:4" ht="18" x14ac:dyDescent="0.35">
      <c r="A484" s="25"/>
      <c r="B484" s="25"/>
      <c r="C484" s="25"/>
      <c r="D484" s="26"/>
    </row>
    <row r="485" spans="1:4" ht="18" x14ac:dyDescent="0.35">
      <c r="A485" s="25"/>
      <c r="B485" s="25"/>
      <c r="C485" s="25"/>
      <c r="D485" s="26"/>
    </row>
    <row r="486" spans="1:4" ht="18" x14ac:dyDescent="0.35">
      <c r="A486" s="25"/>
      <c r="B486" s="25"/>
      <c r="C486" s="25"/>
      <c r="D486" s="26"/>
    </row>
    <row r="487" spans="1:4" ht="18" x14ac:dyDescent="0.35">
      <c r="A487" s="25"/>
      <c r="B487" s="25"/>
      <c r="C487" s="25"/>
      <c r="D487" s="26"/>
    </row>
    <row r="488" spans="1:4" ht="18" x14ac:dyDescent="0.35">
      <c r="A488" s="25"/>
      <c r="B488" s="25"/>
      <c r="C488" s="25"/>
      <c r="D488" s="26"/>
    </row>
    <row r="489" spans="1:4" ht="18" x14ac:dyDescent="0.35">
      <c r="A489" s="25"/>
      <c r="B489" s="25"/>
      <c r="C489" s="25"/>
      <c r="D489" s="26"/>
    </row>
    <row r="490" spans="1:4" ht="18" x14ac:dyDescent="0.35">
      <c r="A490" s="25"/>
      <c r="B490" s="25"/>
      <c r="C490" s="25"/>
      <c r="D490" s="26"/>
    </row>
    <row r="491" spans="1:4" ht="18" x14ac:dyDescent="0.35">
      <c r="A491" s="25"/>
      <c r="B491" s="25"/>
      <c r="C491" s="25"/>
      <c r="D491" s="26"/>
    </row>
    <row r="492" spans="1:4" ht="18" x14ac:dyDescent="0.35">
      <c r="A492" s="25"/>
      <c r="B492" s="25"/>
      <c r="C492" s="25"/>
      <c r="D492" s="26"/>
    </row>
    <row r="493" spans="1:4" ht="18" x14ac:dyDescent="0.35">
      <c r="A493" s="25"/>
      <c r="B493" s="25"/>
      <c r="C493" s="25"/>
      <c r="D493" s="26"/>
    </row>
    <row r="494" spans="1:4" ht="18" x14ac:dyDescent="0.35">
      <c r="A494" s="25"/>
      <c r="B494" s="25"/>
      <c r="C494" s="25"/>
      <c r="D494" s="26"/>
    </row>
    <row r="495" spans="1:4" ht="18" x14ac:dyDescent="0.35">
      <c r="A495" s="25"/>
      <c r="B495" s="25"/>
      <c r="C495" s="25"/>
      <c r="D495" s="26"/>
    </row>
    <row r="496" spans="1:4" ht="18" x14ac:dyDescent="0.35">
      <c r="A496" s="25"/>
      <c r="B496" s="25"/>
      <c r="C496" s="25"/>
      <c r="D496" s="26"/>
    </row>
    <row r="497" spans="1:4" ht="18" x14ac:dyDescent="0.35">
      <c r="A497" s="25"/>
      <c r="B497" s="25"/>
      <c r="C497" s="25"/>
      <c r="D497" s="26"/>
    </row>
    <row r="498" spans="1:4" ht="18" x14ac:dyDescent="0.35">
      <c r="A498" s="25"/>
      <c r="B498" s="25"/>
      <c r="C498" s="25"/>
      <c r="D498" s="26"/>
    </row>
    <row r="499" spans="1:4" ht="18" x14ac:dyDescent="0.35">
      <c r="A499" s="25"/>
      <c r="B499" s="25"/>
      <c r="C499" s="25"/>
      <c r="D499" s="26"/>
    </row>
    <row r="500" spans="1:4" ht="18" x14ac:dyDescent="0.35">
      <c r="A500" s="25"/>
      <c r="B500" s="25"/>
      <c r="C500" s="25"/>
      <c r="D500" s="26"/>
    </row>
    <row r="501" spans="1:4" ht="18" x14ac:dyDescent="0.35">
      <c r="A501" s="25"/>
      <c r="B501" s="25"/>
      <c r="C501" s="25"/>
      <c r="D501" s="26"/>
    </row>
    <row r="502" spans="1:4" ht="18" x14ac:dyDescent="0.35">
      <c r="A502" s="25"/>
      <c r="B502" s="25"/>
      <c r="C502" s="25"/>
      <c r="D502" s="26"/>
    </row>
    <row r="503" spans="1:4" ht="18" x14ac:dyDescent="0.35">
      <c r="A503" s="25"/>
      <c r="B503" s="25"/>
      <c r="C503" s="25"/>
      <c r="D503" s="26"/>
    </row>
    <row r="504" spans="1:4" ht="18" x14ac:dyDescent="0.35">
      <c r="A504" s="25"/>
      <c r="B504" s="25"/>
      <c r="C504" s="25"/>
      <c r="D504" s="26"/>
    </row>
    <row r="505" spans="1:4" ht="18" x14ac:dyDescent="0.35">
      <c r="A505" s="25"/>
      <c r="B505" s="25"/>
      <c r="C505" s="25"/>
      <c r="D505" s="26"/>
    </row>
    <row r="506" spans="1:4" ht="18" x14ac:dyDescent="0.35">
      <c r="A506" s="25"/>
      <c r="B506" s="25"/>
      <c r="C506" s="25"/>
      <c r="D506" s="26"/>
    </row>
    <row r="507" spans="1:4" ht="18" x14ac:dyDescent="0.35">
      <c r="A507" s="25"/>
      <c r="B507" s="25"/>
      <c r="C507" s="25"/>
      <c r="D507" s="26"/>
    </row>
    <row r="508" spans="1:4" ht="18" x14ac:dyDescent="0.35">
      <c r="A508" s="25"/>
      <c r="B508" s="25"/>
      <c r="C508" s="25"/>
      <c r="D508" s="26"/>
    </row>
    <row r="509" spans="1:4" ht="18" x14ac:dyDescent="0.35">
      <c r="A509" s="25"/>
      <c r="B509" s="25"/>
      <c r="C509" s="25"/>
      <c r="D509" s="26"/>
    </row>
    <row r="510" spans="1:4" ht="18" x14ac:dyDescent="0.35">
      <c r="A510" s="25"/>
      <c r="B510" s="25"/>
      <c r="C510" s="25"/>
      <c r="D510" s="26"/>
    </row>
    <row r="511" spans="1:4" ht="18" x14ac:dyDescent="0.35">
      <c r="A511" s="25"/>
      <c r="B511" s="25"/>
      <c r="C511" s="25"/>
      <c r="D511" s="26"/>
    </row>
    <row r="512" spans="1:4" ht="18" x14ac:dyDescent="0.35">
      <c r="A512" s="25"/>
      <c r="B512" s="25"/>
      <c r="C512" s="25"/>
      <c r="D512" s="26"/>
    </row>
    <row r="513" spans="1:4" ht="18" x14ac:dyDescent="0.35">
      <c r="A513" s="25"/>
      <c r="B513" s="25"/>
      <c r="C513" s="25"/>
      <c r="D513" s="26"/>
    </row>
    <row r="514" spans="1:4" ht="18" x14ac:dyDescent="0.35">
      <c r="A514" s="25"/>
      <c r="B514" s="25"/>
      <c r="C514" s="25"/>
      <c r="D514" s="26"/>
    </row>
    <row r="515" spans="1:4" ht="18" x14ac:dyDescent="0.35">
      <c r="A515" s="25"/>
      <c r="B515" s="25"/>
      <c r="C515" s="25"/>
      <c r="D515" s="26"/>
    </row>
    <row r="516" spans="1:4" ht="18" x14ac:dyDescent="0.35">
      <c r="A516" s="25"/>
      <c r="B516" s="25"/>
      <c r="C516" s="25"/>
      <c r="D516" s="26"/>
    </row>
    <row r="517" spans="1:4" ht="18" x14ac:dyDescent="0.35">
      <c r="A517" s="25"/>
      <c r="B517" s="25"/>
      <c r="C517" s="25"/>
      <c r="D517" s="26"/>
    </row>
    <row r="518" spans="1:4" ht="18" x14ac:dyDescent="0.35">
      <c r="A518" s="25"/>
      <c r="B518" s="25"/>
      <c r="C518" s="25"/>
      <c r="D518" s="26"/>
    </row>
    <row r="519" spans="1:4" ht="18" x14ac:dyDescent="0.35">
      <c r="A519" s="25"/>
      <c r="B519" s="25"/>
      <c r="C519" s="25"/>
      <c r="D519" s="26"/>
    </row>
    <row r="520" spans="1:4" ht="18" x14ac:dyDescent="0.35">
      <c r="A520" s="25"/>
      <c r="B520" s="25"/>
      <c r="C520" s="25"/>
      <c r="D520" s="26"/>
    </row>
    <row r="521" spans="1:4" ht="18" x14ac:dyDescent="0.35">
      <c r="A521" s="25"/>
      <c r="B521" s="25"/>
      <c r="C521" s="25"/>
      <c r="D521" s="26"/>
    </row>
    <row r="522" spans="1:4" ht="18" x14ac:dyDescent="0.35">
      <c r="A522" s="25"/>
      <c r="B522" s="25"/>
      <c r="C522" s="25"/>
      <c r="D522" s="26"/>
    </row>
    <row r="523" spans="1:4" ht="18" x14ac:dyDescent="0.35">
      <c r="A523" s="25"/>
      <c r="B523" s="25"/>
      <c r="C523" s="25"/>
      <c r="D523" s="26"/>
    </row>
    <row r="524" spans="1:4" ht="18" x14ac:dyDescent="0.35">
      <c r="A524" s="25"/>
      <c r="B524" s="25"/>
      <c r="C524" s="25"/>
      <c r="D524" s="26"/>
    </row>
    <row r="525" spans="1:4" ht="18" x14ac:dyDescent="0.35">
      <c r="A525" s="25"/>
      <c r="B525" s="25"/>
      <c r="C525" s="25"/>
      <c r="D525" s="26"/>
    </row>
    <row r="526" spans="1:4" ht="18" x14ac:dyDescent="0.35">
      <c r="A526" s="25"/>
      <c r="B526" s="25"/>
      <c r="C526" s="25"/>
      <c r="D526" s="26"/>
    </row>
    <row r="527" spans="1:4" ht="18" x14ac:dyDescent="0.35">
      <c r="A527" s="25"/>
      <c r="B527" s="25"/>
      <c r="C527" s="25"/>
      <c r="D527" s="26"/>
    </row>
    <row r="528" spans="1:4" ht="18" x14ac:dyDescent="0.35">
      <c r="A528" s="25"/>
      <c r="B528" s="25"/>
      <c r="C528" s="25"/>
      <c r="D528" s="26"/>
    </row>
    <row r="529" spans="1:4" ht="18" x14ac:dyDescent="0.35">
      <c r="A529" s="25"/>
      <c r="B529" s="25"/>
      <c r="C529" s="25"/>
      <c r="D529" s="26"/>
    </row>
    <row r="530" spans="1:4" ht="18" x14ac:dyDescent="0.35">
      <c r="A530" s="25"/>
      <c r="B530" s="25"/>
      <c r="C530" s="25"/>
      <c r="D530" s="26"/>
    </row>
    <row r="531" spans="1:4" ht="18" x14ac:dyDescent="0.35">
      <c r="A531" s="25"/>
      <c r="B531" s="25"/>
      <c r="C531" s="25"/>
      <c r="D531" s="26"/>
    </row>
    <row r="532" spans="1:4" ht="18" x14ac:dyDescent="0.35">
      <c r="A532" s="25"/>
      <c r="B532" s="25"/>
      <c r="C532" s="25"/>
      <c r="D532" s="26"/>
    </row>
    <row r="533" spans="1:4" ht="18" x14ac:dyDescent="0.35">
      <c r="A533" s="25"/>
      <c r="B533" s="25"/>
      <c r="C533" s="25"/>
      <c r="D533" s="26"/>
    </row>
    <row r="534" spans="1:4" ht="18" x14ac:dyDescent="0.35">
      <c r="A534" s="25"/>
      <c r="B534" s="25"/>
      <c r="C534" s="25"/>
      <c r="D534" s="26"/>
    </row>
    <row r="535" spans="1:4" ht="18" x14ac:dyDescent="0.35">
      <c r="A535" s="25"/>
      <c r="B535" s="25"/>
      <c r="C535" s="25"/>
      <c r="D535" s="26"/>
    </row>
    <row r="536" spans="1:4" ht="18" x14ac:dyDescent="0.35">
      <c r="A536" s="25"/>
      <c r="B536" s="25"/>
      <c r="C536" s="25"/>
      <c r="D536" s="26"/>
    </row>
    <row r="537" spans="1:4" ht="18" x14ac:dyDescent="0.35">
      <c r="A537" s="25"/>
      <c r="B537" s="25"/>
      <c r="C537" s="25"/>
      <c r="D537" s="26"/>
    </row>
    <row r="538" spans="1:4" ht="18" x14ac:dyDescent="0.35">
      <c r="A538" s="25"/>
      <c r="B538" s="25"/>
      <c r="C538" s="25"/>
      <c r="D538" s="26"/>
    </row>
    <row r="539" spans="1:4" ht="18" x14ac:dyDescent="0.35">
      <c r="A539" s="25"/>
      <c r="B539" s="25"/>
      <c r="C539" s="25"/>
      <c r="D539" s="26"/>
    </row>
    <row r="540" spans="1:4" ht="18" x14ac:dyDescent="0.35">
      <c r="A540" s="25"/>
      <c r="B540" s="25"/>
      <c r="C540" s="25"/>
      <c r="D540" s="26"/>
    </row>
    <row r="541" spans="1:4" ht="18" x14ac:dyDescent="0.35">
      <c r="A541" s="25"/>
      <c r="B541" s="25"/>
      <c r="C541" s="25"/>
      <c r="D541" s="26"/>
    </row>
    <row r="542" spans="1:4" ht="18" x14ac:dyDescent="0.35">
      <c r="A542" s="25"/>
      <c r="B542" s="25"/>
      <c r="C542" s="25"/>
      <c r="D542" s="26"/>
    </row>
    <row r="543" spans="1:4" ht="18" x14ac:dyDescent="0.35">
      <c r="A543" s="25"/>
      <c r="B543" s="25"/>
      <c r="C543" s="25"/>
      <c r="D543" s="26"/>
    </row>
    <row r="544" spans="1:4" ht="18" x14ac:dyDescent="0.35">
      <c r="A544" s="25"/>
      <c r="B544" s="25"/>
      <c r="C544" s="25"/>
      <c r="D544" s="26"/>
    </row>
    <row r="545" spans="1:4" ht="18" x14ac:dyDescent="0.35">
      <c r="A545" s="25"/>
      <c r="B545" s="25"/>
      <c r="C545" s="25"/>
      <c r="D545" s="26"/>
    </row>
    <row r="546" spans="1:4" ht="18" x14ac:dyDescent="0.35">
      <c r="A546" s="25"/>
      <c r="B546" s="25"/>
      <c r="C546" s="25"/>
      <c r="D546" s="26"/>
    </row>
    <row r="547" spans="1:4" ht="18" x14ac:dyDescent="0.35">
      <c r="A547" s="25"/>
      <c r="B547" s="25"/>
      <c r="C547" s="25"/>
      <c r="D547" s="26"/>
    </row>
    <row r="548" spans="1:4" ht="18" x14ac:dyDescent="0.35">
      <c r="A548" s="25"/>
      <c r="B548" s="25"/>
      <c r="C548" s="25"/>
      <c r="D548" s="26"/>
    </row>
    <row r="549" spans="1:4" ht="18" x14ac:dyDescent="0.35">
      <c r="A549" s="25"/>
      <c r="B549" s="25"/>
      <c r="C549" s="25"/>
      <c r="D549" s="26"/>
    </row>
    <row r="550" spans="1:4" ht="18" x14ac:dyDescent="0.35">
      <c r="A550" s="25"/>
      <c r="B550" s="25"/>
      <c r="C550" s="25"/>
      <c r="D550" s="26"/>
    </row>
    <row r="551" spans="1:4" ht="18" x14ac:dyDescent="0.35">
      <c r="A551" s="25"/>
      <c r="B551" s="25"/>
      <c r="C551" s="25"/>
      <c r="D551" s="26"/>
    </row>
    <row r="552" spans="1:4" ht="18" x14ac:dyDescent="0.35">
      <c r="A552" s="25"/>
      <c r="B552" s="25"/>
      <c r="C552" s="25"/>
      <c r="D552" s="26"/>
    </row>
    <row r="553" spans="1:4" ht="18" x14ac:dyDescent="0.35">
      <c r="A553" s="25"/>
      <c r="B553" s="25"/>
      <c r="C553" s="25"/>
      <c r="D553" s="26"/>
    </row>
    <row r="554" spans="1:4" ht="18" x14ac:dyDescent="0.35">
      <c r="A554" s="25"/>
      <c r="B554" s="25"/>
      <c r="C554" s="25"/>
      <c r="D554" s="26"/>
    </row>
    <row r="555" spans="1:4" ht="18" x14ac:dyDescent="0.35">
      <c r="A555" s="25"/>
      <c r="B555" s="25"/>
      <c r="C555" s="25"/>
      <c r="D555" s="26"/>
    </row>
    <row r="556" spans="1:4" ht="18" x14ac:dyDescent="0.35">
      <c r="A556" s="25"/>
      <c r="B556" s="25"/>
      <c r="C556" s="25"/>
      <c r="D556" s="26"/>
    </row>
    <row r="557" spans="1:4" ht="18" x14ac:dyDescent="0.35">
      <c r="A557" s="25"/>
      <c r="B557" s="25"/>
      <c r="C557" s="25"/>
      <c r="D557" s="26"/>
    </row>
    <row r="558" spans="1:4" ht="18" x14ac:dyDescent="0.35">
      <c r="A558" s="25"/>
      <c r="B558" s="25"/>
      <c r="C558" s="25"/>
      <c r="D558" s="26"/>
    </row>
    <row r="559" spans="1:4" ht="18" x14ac:dyDescent="0.35">
      <c r="A559" s="25"/>
      <c r="B559" s="25"/>
      <c r="C559" s="25"/>
      <c r="D559" s="26"/>
    </row>
    <row r="560" spans="1:4" ht="18" x14ac:dyDescent="0.35">
      <c r="A560" s="25"/>
      <c r="B560" s="25"/>
      <c r="C560" s="25"/>
      <c r="D560" s="26"/>
    </row>
    <row r="561" spans="1:4" ht="18" x14ac:dyDescent="0.35">
      <c r="A561" s="25"/>
      <c r="B561" s="25"/>
      <c r="C561" s="25"/>
      <c r="D561" s="26"/>
    </row>
    <row r="562" spans="1:4" ht="18" x14ac:dyDescent="0.35">
      <c r="A562" s="25"/>
      <c r="B562" s="25"/>
      <c r="C562" s="25"/>
      <c r="D562" s="26"/>
    </row>
    <row r="563" spans="1:4" ht="18" x14ac:dyDescent="0.35">
      <c r="A563" s="25"/>
      <c r="B563" s="25"/>
      <c r="C563" s="25"/>
      <c r="D563" s="26"/>
    </row>
    <row r="564" spans="1:4" ht="18" x14ac:dyDescent="0.35">
      <c r="A564" s="25"/>
      <c r="B564" s="25"/>
      <c r="C564" s="25"/>
      <c r="D564" s="26"/>
    </row>
    <row r="565" spans="1:4" ht="18" x14ac:dyDescent="0.35">
      <c r="A565" s="25"/>
      <c r="B565" s="25"/>
      <c r="C565" s="25"/>
      <c r="D565" s="26"/>
    </row>
    <row r="566" spans="1:4" ht="18" x14ac:dyDescent="0.35">
      <c r="A566" s="25"/>
      <c r="B566" s="25"/>
      <c r="C566" s="25"/>
      <c r="D566" s="26"/>
    </row>
    <row r="567" spans="1:4" ht="18" x14ac:dyDescent="0.35">
      <c r="A567" s="25"/>
      <c r="B567" s="25"/>
      <c r="C567" s="25"/>
      <c r="D567" s="26"/>
    </row>
    <row r="568" spans="1:4" ht="18" x14ac:dyDescent="0.35">
      <c r="A568" s="25"/>
      <c r="B568" s="25"/>
      <c r="C568" s="25"/>
      <c r="D568" s="26"/>
    </row>
    <row r="569" spans="1:4" ht="18" x14ac:dyDescent="0.35">
      <c r="A569" s="25"/>
      <c r="B569" s="25"/>
      <c r="C569" s="25"/>
      <c r="D569" s="26"/>
    </row>
    <row r="570" spans="1:4" ht="18" x14ac:dyDescent="0.35">
      <c r="A570" s="25"/>
      <c r="B570" s="25"/>
      <c r="C570" s="25"/>
      <c r="D570" s="26"/>
    </row>
    <row r="571" spans="1:4" ht="18" x14ac:dyDescent="0.35">
      <c r="A571" s="25"/>
      <c r="B571" s="25"/>
      <c r="C571" s="25"/>
      <c r="D571" s="26"/>
    </row>
    <row r="572" spans="1:4" ht="18" x14ac:dyDescent="0.35">
      <c r="A572" s="25"/>
      <c r="B572" s="25"/>
      <c r="C572" s="25"/>
      <c r="D572" s="26"/>
    </row>
    <row r="573" spans="1:4" ht="18" x14ac:dyDescent="0.35">
      <c r="A573" s="25"/>
      <c r="B573" s="25"/>
      <c r="C573" s="25"/>
      <c r="D573" s="26"/>
    </row>
    <row r="574" spans="1:4" ht="18" x14ac:dyDescent="0.35">
      <c r="A574" s="25"/>
      <c r="B574" s="25"/>
      <c r="C574" s="25"/>
      <c r="D574" s="26"/>
    </row>
    <row r="575" spans="1:4" ht="18" x14ac:dyDescent="0.35">
      <c r="A575" s="25"/>
      <c r="B575" s="25"/>
      <c r="C575" s="25"/>
      <c r="D575" s="26"/>
    </row>
    <row r="576" spans="1:4" ht="18" x14ac:dyDescent="0.35">
      <c r="A576" s="25"/>
      <c r="B576" s="25"/>
      <c r="C576" s="25"/>
      <c r="D576" s="26"/>
    </row>
    <row r="577" spans="1:4" ht="18" x14ac:dyDescent="0.35">
      <c r="A577" s="25"/>
      <c r="B577" s="25"/>
      <c r="C577" s="25"/>
      <c r="D577" s="26"/>
    </row>
    <row r="578" spans="1:4" ht="18" x14ac:dyDescent="0.35">
      <c r="A578" s="25"/>
      <c r="B578" s="25"/>
      <c r="C578" s="25"/>
      <c r="D578" s="26"/>
    </row>
    <row r="579" spans="1:4" ht="18" x14ac:dyDescent="0.35">
      <c r="A579" s="25"/>
      <c r="B579" s="25"/>
      <c r="C579" s="25"/>
      <c r="D579" s="26"/>
    </row>
    <row r="580" spans="1:4" ht="18" x14ac:dyDescent="0.35">
      <c r="A580" s="25"/>
      <c r="B580" s="25"/>
      <c r="C580" s="25"/>
      <c r="D580" s="26"/>
    </row>
    <row r="581" spans="1:4" ht="18" x14ac:dyDescent="0.35">
      <c r="A581" s="25"/>
      <c r="B581" s="25"/>
      <c r="C581" s="25"/>
      <c r="D581" s="26"/>
    </row>
    <row r="582" spans="1:4" ht="18" x14ac:dyDescent="0.35">
      <c r="A582" s="25"/>
      <c r="B582" s="25"/>
      <c r="C582" s="25"/>
      <c r="D582" s="26"/>
    </row>
    <row r="583" spans="1:4" ht="18" x14ac:dyDescent="0.35">
      <c r="A583" s="25"/>
      <c r="B583" s="25"/>
      <c r="C583" s="25"/>
      <c r="D583" s="26"/>
    </row>
    <row r="584" spans="1:4" ht="18" x14ac:dyDescent="0.35">
      <c r="A584" s="25"/>
      <c r="B584" s="25"/>
      <c r="C584" s="25"/>
      <c r="D584" s="26"/>
    </row>
    <row r="585" spans="1:4" ht="18" x14ac:dyDescent="0.35">
      <c r="A585" s="25"/>
      <c r="B585" s="25"/>
      <c r="C585" s="25"/>
      <c r="D585" s="26"/>
    </row>
    <row r="586" spans="1:4" ht="18" x14ac:dyDescent="0.35">
      <c r="A586" s="25"/>
      <c r="B586" s="25"/>
      <c r="C586" s="25"/>
      <c r="D586" s="26"/>
    </row>
    <row r="587" spans="1:4" ht="18" x14ac:dyDescent="0.35">
      <c r="A587" s="25"/>
      <c r="B587" s="25"/>
      <c r="C587" s="25"/>
      <c r="D587" s="26"/>
    </row>
    <row r="588" spans="1:4" ht="18" x14ac:dyDescent="0.35">
      <c r="A588" s="25"/>
      <c r="B588" s="25"/>
      <c r="C588" s="25"/>
      <c r="D588" s="26"/>
    </row>
    <row r="589" spans="1:4" ht="18" x14ac:dyDescent="0.35">
      <c r="A589" s="25"/>
      <c r="B589" s="25"/>
      <c r="C589" s="25"/>
      <c r="D589" s="26"/>
    </row>
    <row r="590" spans="1:4" ht="18" x14ac:dyDescent="0.35">
      <c r="A590" s="25"/>
      <c r="B590" s="25"/>
      <c r="C590" s="25"/>
      <c r="D590" s="26"/>
    </row>
    <row r="591" spans="1:4" ht="18" x14ac:dyDescent="0.35">
      <c r="A591" s="25"/>
      <c r="B591" s="25"/>
      <c r="C591" s="25"/>
      <c r="D591" s="26"/>
    </row>
    <row r="592" spans="1:4" ht="18" x14ac:dyDescent="0.35">
      <c r="A592" s="25"/>
      <c r="B592" s="25"/>
      <c r="C592" s="25"/>
      <c r="D592" s="26"/>
    </row>
    <row r="593" spans="1:4" ht="18" x14ac:dyDescent="0.35">
      <c r="A593" s="25"/>
      <c r="B593" s="25"/>
      <c r="C593" s="25"/>
      <c r="D593" s="26"/>
    </row>
    <row r="594" spans="1:4" ht="18" x14ac:dyDescent="0.35">
      <c r="A594" s="25"/>
      <c r="B594" s="25"/>
      <c r="C594" s="25"/>
      <c r="D594" s="26"/>
    </row>
    <row r="595" spans="1:4" ht="18" x14ac:dyDescent="0.35">
      <c r="A595" s="25"/>
      <c r="B595" s="25"/>
      <c r="C595" s="25"/>
      <c r="D595" s="26"/>
    </row>
    <row r="596" spans="1:4" ht="18" x14ac:dyDescent="0.35">
      <c r="A596" s="25"/>
      <c r="B596" s="25"/>
      <c r="C596" s="25"/>
      <c r="D596" s="26"/>
    </row>
    <row r="597" spans="1:4" ht="18" x14ac:dyDescent="0.35">
      <c r="A597" s="25"/>
      <c r="B597" s="25"/>
      <c r="C597" s="25"/>
      <c r="D597" s="26"/>
    </row>
    <row r="598" spans="1:4" ht="18" x14ac:dyDescent="0.35">
      <c r="A598" s="25"/>
      <c r="B598" s="25"/>
      <c r="C598" s="25"/>
      <c r="D598" s="26"/>
    </row>
    <row r="599" spans="1:4" ht="18" x14ac:dyDescent="0.35">
      <c r="A599" s="25"/>
      <c r="B599" s="25"/>
      <c r="C599" s="25"/>
      <c r="D599" s="26"/>
    </row>
    <row r="600" spans="1:4" ht="18" x14ac:dyDescent="0.35">
      <c r="A600" s="25"/>
      <c r="B600" s="25"/>
      <c r="C600" s="25"/>
      <c r="D600" s="26"/>
    </row>
    <row r="601" spans="1:4" ht="18" x14ac:dyDescent="0.35">
      <c r="A601" s="25"/>
      <c r="B601" s="25"/>
      <c r="C601" s="25"/>
      <c r="D601" s="26"/>
    </row>
    <row r="602" spans="1:4" ht="18" x14ac:dyDescent="0.35">
      <c r="A602" s="25"/>
      <c r="B602" s="25"/>
      <c r="C602" s="25"/>
      <c r="D602" s="26"/>
    </row>
    <row r="603" spans="1:4" ht="18" x14ac:dyDescent="0.35">
      <c r="A603" s="25"/>
      <c r="B603" s="25"/>
      <c r="C603" s="25"/>
      <c r="D603" s="26"/>
    </row>
    <row r="604" spans="1:4" ht="18" x14ac:dyDescent="0.35">
      <c r="A604" s="25"/>
      <c r="B604" s="25"/>
      <c r="C604" s="25"/>
      <c r="D604" s="26"/>
    </row>
    <row r="605" spans="1:4" ht="18" x14ac:dyDescent="0.35">
      <c r="A605" s="25"/>
      <c r="B605" s="25"/>
      <c r="C605" s="25"/>
      <c r="D605" s="26"/>
    </row>
    <row r="606" spans="1:4" ht="18" x14ac:dyDescent="0.35">
      <c r="A606" s="25"/>
      <c r="B606" s="25"/>
      <c r="C606" s="25"/>
      <c r="D606" s="26"/>
    </row>
    <row r="607" spans="1:4" ht="18" x14ac:dyDescent="0.35">
      <c r="A607" s="25"/>
      <c r="B607" s="25"/>
      <c r="C607" s="25"/>
      <c r="D607" s="26"/>
    </row>
    <row r="608" spans="1:4" ht="18" x14ac:dyDescent="0.35">
      <c r="A608" s="25"/>
      <c r="B608" s="25"/>
      <c r="C608" s="25"/>
      <c r="D608" s="26"/>
    </row>
    <row r="609" spans="1:4" ht="18" x14ac:dyDescent="0.35">
      <c r="A609" s="25"/>
      <c r="B609" s="25"/>
      <c r="C609" s="25"/>
      <c r="D609" s="26"/>
    </row>
    <row r="610" spans="1:4" ht="18" x14ac:dyDescent="0.35">
      <c r="A610" s="25"/>
      <c r="B610" s="25"/>
      <c r="C610" s="25"/>
      <c r="D610" s="26"/>
    </row>
    <row r="611" spans="1:4" ht="18" x14ac:dyDescent="0.35">
      <c r="A611" s="25"/>
      <c r="B611" s="25"/>
      <c r="C611" s="25"/>
      <c r="D611" s="26"/>
    </row>
    <row r="612" spans="1:4" ht="18" x14ac:dyDescent="0.35">
      <c r="A612" s="25"/>
      <c r="B612" s="25"/>
      <c r="C612" s="25"/>
      <c r="D612" s="26"/>
    </row>
    <row r="613" spans="1:4" ht="18" x14ac:dyDescent="0.35">
      <c r="A613" s="25"/>
      <c r="B613" s="25"/>
      <c r="C613" s="25"/>
      <c r="D613" s="26"/>
    </row>
    <row r="614" spans="1:4" ht="18" x14ac:dyDescent="0.35">
      <c r="A614" s="25"/>
      <c r="B614" s="25"/>
      <c r="C614" s="25"/>
      <c r="D614" s="26"/>
    </row>
    <row r="615" spans="1:4" ht="18" x14ac:dyDescent="0.35">
      <c r="A615" s="25"/>
      <c r="B615" s="25"/>
      <c r="C615" s="25"/>
      <c r="D615" s="26"/>
    </row>
    <row r="616" spans="1:4" ht="18" x14ac:dyDescent="0.35">
      <c r="A616" s="25"/>
      <c r="B616" s="25"/>
      <c r="C616" s="25"/>
      <c r="D616" s="26"/>
    </row>
    <row r="617" spans="1:4" ht="18" x14ac:dyDescent="0.35">
      <c r="A617" s="25"/>
      <c r="B617" s="25"/>
      <c r="C617" s="25"/>
      <c r="D617" s="26"/>
    </row>
    <row r="618" spans="1:4" ht="18" x14ac:dyDescent="0.35">
      <c r="A618" s="25"/>
      <c r="B618" s="25"/>
      <c r="C618" s="25"/>
      <c r="D618" s="26"/>
    </row>
    <row r="619" spans="1:4" ht="18" x14ac:dyDescent="0.35">
      <c r="A619" s="25"/>
      <c r="B619" s="25"/>
      <c r="C619" s="25"/>
      <c r="D619" s="26"/>
    </row>
    <row r="620" spans="1:4" ht="18" x14ac:dyDescent="0.35">
      <c r="A620" s="25"/>
      <c r="B620" s="25"/>
      <c r="C620" s="25"/>
      <c r="D620" s="26"/>
    </row>
    <row r="621" spans="1:4" ht="18" x14ac:dyDescent="0.35">
      <c r="A621" s="25"/>
      <c r="B621" s="25"/>
      <c r="C621" s="25"/>
      <c r="D621" s="26"/>
    </row>
    <row r="622" spans="1:4" ht="18" x14ac:dyDescent="0.35">
      <c r="A622" s="25"/>
      <c r="B622" s="25"/>
      <c r="C622" s="25"/>
      <c r="D622" s="26"/>
    </row>
    <row r="623" spans="1:4" ht="18" x14ac:dyDescent="0.35">
      <c r="A623" s="25"/>
      <c r="B623" s="25"/>
      <c r="C623" s="25"/>
      <c r="D623" s="26"/>
    </row>
    <row r="624" spans="1:4" ht="18" x14ac:dyDescent="0.35">
      <c r="A624" s="25"/>
      <c r="B624" s="25"/>
      <c r="C624" s="25"/>
      <c r="D624" s="26"/>
    </row>
    <row r="625" spans="1:4" ht="18" x14ac:dyDescent="0.35">
      <c r="A625" s="25"/>
      <c r="B625" s="25"/>
      <c r="C625" s="25"/>
      <c r="D625" s="26"/>
    </row>
    <row r="626" spans="1:4" ht="18" x14ac:dyDescent="0.35">
      <c r="A626" s="25"/>
      <c r="B626" s="25"/>
      <c r="C626" s="25"/>
      <c r="D626" s="26"/>
    </row>
    <row r="627" spans="1:4" ht="18" x14ac:dyDescent="0.35">
      <c r="A627" s="25"/>
      <c r="B627" s="25"/>
      <c r="C627" s="25"/>
      <c r="D627" s="26"/>
    </row>
    <row r="628" spans="1:4" ht="18" x14ac:dyDescent="0.35">
      <c r="A628" s="25"/>
      <c r="B628" s="25"/>
      <c r="C628" s="25"/>
      <c r="D628" s="26"/>
    </row>
    <row r="629" spans="1:4" ht="18" x14ac:dyDescent="0.35">
      <c r="A629" s="25"/>
      <c r="B629" s="25"/>
      <c r="C629" s="25"/>
      <c r="D629" s="26"/>
    </row>
    <row r="630" spans="1:4" ht="18" x14ac:dyDescent="0.35">
      <c r="A630" s="25"/>
      <c r="B630" s="25"/>
      <c r="C630" s="25"/>
      <c r="D630" s="26"/>
    </row>
    <row r="631" spans="1:4" ht="18" x14ac:dyDescent="0.35">
      <c r="A631" s="25"/>
      <c r="B631" s="25"/>
      <c r="C631" s="25"/>
      <c r="D631" s="26"/>
    </row>
    <row r="632" spans="1:4" ht="18" x14ac:dyDescent="0.35">
      <c r="A632" s="25"/>
      <c r="B632" s="25"/>
      <c r="C632" s="25"/>
      <c r="D632" s="26"/>
    </row>
    <row r="633" spans="1:4" ht="18" x14ac:dyDescent="0.35">
      <c r="A633" s="25"/>
      <c r="B633" s="25"/>
      <c r="C633" s="25"/>
      <c r="D633" s="26"/>
    </row>
    <row r="634" spans="1:4" ht="18" x14ac:dyDescent="0.35">
      <c r="A634" s="25"/>
      <c r="B634" s="25"/>
      <c r="C634" s="25"/>
      <c r="D634" s="26"/>
    </row>
    <row r="635" spans="1:4" ht="18" x14ac:dyDescent="0.35">
      <c r="A635" s="25"/>
      <c r="B635" s="25"/>
      <c r="C635" s="25"/>
      <c r="D635" s="26"/>
    </row>
    <row r="636" spans="1:4" ht="18" x14ac:dyDescent="0.35">
      <c r="A636" s="25"/>
      <c r="B636" s="25"/>
      <c r="C636" s="25"/>
      <c r="D636" s="26"/>
    </row>
    <row r="637" spans="1:4" ht="18" x14ac:dyDescent="0.35">
      <c r="A637" s="25"/>
      <c r="B637" s="25"/>
      <c r="C637" s="25"/>
      <c r="D637" s="26"/>
    </row>
    <row r="638" spans="1:4" ht="18" x14ac:dyDescent="0.35">
      <c r="A638" s="25"/>
      <c r="B638" s="25"/>
      <c r="C638" s="25"/>
      <c r="D638" s="26"/>
    </row>
    <row r="639" spans="1:4" ht="18" x14ac:dyDescent="0.35">
      <c r="A639" s="25"/>
      <c r="B639" s="25"/>
      <c r="C639" s="25"/>
      <c r="D639" s="26"/>
    </row>
    <row r="640" spans="1:4" ht="18" x14ac:dyDescent="0.35">
      <c r="A640" s="25"/>
      <c r="B640" s="25"/>
      <c r="C640" s="25"/>
      <c r="D640" s="26"/>
    </row>
    <row r="641" spans="1:4" ht="18" x14ac:dyDescent="0.35">
      <c r="A641" s="25"/>
      <c r="B641" s="25"/>
      <c r="C641" s="25"/>
      <c r="D641" s="26"/>
    </row>
    <row r="642" spans="1:4" ht="18" x14ac:dyDescent="0.35">
      <c r="A642" s="25"/>
      <c r="B642" s="25"/>
      <c r="C642" s="25"/>
      <c r="D642" s="26"/>
    </row>
    <row r="643" spans="1:4" ht="18" x14ac:dyDescent="0.35">
      <c r="A643" s="25"/>
      <c r="B643" s="25"/>
      <c r="C643" s="25"/>
      <c r="D643" s="26"/>
    </row>
    <row r="644" spans="1:4" ht="18" x14ac:dyDescent="0.35">
      <c r="A644" s="25"/>
      <c r="B644" s="25"/>
      <c r="C644" s="25"/>
      <c r="D644" s="26"/>
    </row>
    <row r="645" spans="1:4" ht="18" x14ac:dyDescent="0.35">
      <c r="A645" s="25"/>
      <c r="B645" s="25"/>
      <c r="C645" s="25"/>
      <c r="D645" s="26"/>
    </row>
    <row r="646" spans="1:4" ht="18" x14ac:dyDescent="0.35">
      <c r="A646" s="25"/>
      <c r="B646" s="25"/>
      <c r="C646" s="25"/>
      <c r="D646" s="26"/>
    </row>
    <row r="647" spans="1:4" ht="18" x14ac:dyDescent="0.35">
      <c r="A647" s="25"/>
      <c r="B647" s="25"/>
      <c r="C647" s="25"/>
      <c r="D647" s="26"/>
    </row>
    <row r="648" spans="1:4" ht="18" x14ac:dyDescent="0.35">
      <c r="A648" s="25"/>
      <c r="B648" s="25"/>
      <c r="C648" s="25"/>
      <c r="D648" s="26"/>
    </row>
    <row r="649" spans="1:4" ht="18" x14ac:dyDescent="0.35">
      <c r="A649" s="25"/>
      <c r="B649" s="25"/>
      <c r="C649" s="25"/>
      <c r="D649" s="26"/>
    </row>
    <row r="650" spans="1:4" ht="18" x14ac:dyDescent="0.35">
      <c r="A650" s="25"/>
      <c r="B650" s="25"/>
      <c r="C650" s="25"/>
      <c r="D650" s="26"/>
    </row>
    <row r="651" spans="1:4" ht="18" x14ac:dyDescent="0.35">
      <c r="A651" s="25"/>
      <c r="B651" s="25"/>
      <c r="C651" s="25"/>
      <c r="D651" s="26"/>
    </row>
    <row r="652" spans="1:4" ht="18" x14ac:dyDescent="0.35">
      <c r="A652" s="25"/>
      <c r="B652" s="25"/>
      <c r="C652" s="25"/>
      <c r="D652" s="26"/>
    </row>
    <row r="653" spans="1:4" ht="18" x14ac:dyDescent="0.35">
      <c r="A653" s="25"/>
      <c r="B653" s="25"/>
      <c r="C653" s="25"/>
      <c r="D653" s="26"/>
    </row>
    <row r="654" spans="1:4" ht="18" x14ac:dyDescent="0.35">
      <c r="A654" s="25"/>
      <c r="B654" s="25"/>
      <c r="C654" s="25"/>
      <c r="D654" s="26"/>
    </row>
    <row r="655" spans="1:4" ht="18" x14ac:dyDescent="0.35">
      <c r="A655" s="25"/>
      <c r="B655" s="25"/>
      <c r="C655" s="25"/>
      <c r="D655" s="26"/>
    </row>
    <row r="656" spans="1:4" ht="18" x14ac:dyDescent="0.35">
      <c r="A656" s="25"/>
      <c r="B656" s="25"/>
      <c r="C656" s="25"/>
      <c r="D656" s="26"/>
    </row>
    <row r="657" spans="1:4" ht="18" x14ac:dyDescent="0.35">
      <c r="A657" s="25"/>
      <c r="B657" s="25"/>
      <c r="C657" s="25"/>
      <c r="D657" s="26"/>
    </row>
    <row r="658" spans="1:4" ht="18" x14ac:dyDescent="0.35">
      <c r="A658" s="25"/>
      <c r="B658" s="25"/>
      <c r="C658" s="25"/>
      <c r="D658" s="26"/>
    </row>
    <row r="659" spans="1:4" ht="18" x14ac:dyDescent="0.35">
      <c r="A659" s="25"/>
      <c r="B659" s="25"/>
      <c r="C659" s="25"/>
      <c r="D659" s="26"/>
    </row>
    <row r="660" spans="1:4" ht="18" x14ac:dyDescent="0.35">
      <c r="A660" s="25"/>
      <c r="B660" s="25"/>
      <c r="C660" s="25"/>
      <c r="D660" s="26"/>
    </row>
    <row r="661" spans="1:4" ht="18" x14ac:dyDescent="0.35">
      <c r="A661" s="25"/>
      <c r="B661" s="25"/>
      <c r="C661" s="25"/>
      <c r="D661" s="26"/>
    </row>
    <row r="662" spans="1:4" ht="18" x14ac:dyDescent="0.35">
      <c r="A662" s="25"/>
      <c r="B662" s="25"/>
      <c r="C662" s="25"/>
      <c r="D662" s="26"/>
    </row>
    <row r="663" spans="1:4" ht="18" x14ac:dyDescent="0.35">
      <c r="A663" s="25"/>
      <c r="B663" s="25"/>
      <c r="C663" s="25"/>
      <c r="D663" s="26"/>
    </row>
    <row r="664" spans="1:4" ht="18" x14ac:dyDescent="0.35">
      <c r="A664" s="25"/>
      <c r="B664" s="25"/>
      <c r="C664" s="25"/>
      <c r="D664" s="26"/>
    </row>
    <row r="665" spans="1:4" ht="18" x14ac:dyDescent="0.35">
      <c r="A665" s="25"/>
      <c r="B665" s="25"/>
      <c r="C665" s="25"/>
      <c r="D665" s="26"/>
    </row>
    <row r="666" spans="1:4" ht="18" x14ac:dyDescent="0.35">
      <c r="A666" s="25"/>
      <c r="B666" s="25"/>
      <c r="C666" s="25"/>
      <c r="D666" s="26"/>
    </row>
    <row r="667" spans="1:4" ht="18" x14ac:dyDescent="0.35">
      <c r="A667" s="25"/>
      <c r="B667" s="25"/>
      <c r="C667" s="25"/>
      <c r="D667" s="26"/>
    </row>
    <row r="668" spans="1:4" ht="18" x14ac:dyDescent="0.35">
      <c r="A668" s="25"/>
      <c r="B668" s="25"/>
      <c r="C668" s="25"/>
      <c r="D668" s="26"/>
    </row>
    <row r="669" spans="1:4" ht="18" x14ac:dyDescent="0.35">
      <c r="A669" s="25"/>
      <c r="B669" s="25"/>
      <c r="C669" s="25"/>
      <c r="D669" s="26"/>
    </row>
    <row r="670" spans="1:4" ht="18" x14ac:dyDescent="0.35">
      <c r="A670" s="25"/>
      <c r="B670" s="25"/>
      <c r="C670" s="25"/>
      <c r="D670" s="26"/>
    </row>
    <row r="671" spans="1:4" ht="18" x14ac:dyDescent="0.35">
      <c r="A671" s="25"/>
      <c r="B671" s="25"/>
      <c r="C671" s="25"/>
      <c r="D671" s="26"/>
    </row>
    <row r="672" spans="1:4" ht="18" x14ac:dyDescent="0.35">
      <c r="A672" s="25"/>
      <c r="B672" s="25"/>
      <c r="C672" s="25"/>
      <c r="D672" s="26"/>
    </row>
    <row r="673" spans="1:4" ht="18" x14ac:dyDescent="0.35">
      <c r="A673" s="25"/>
      <c r="B673" s="25"/>
      <c r="C673" s="25"/>
      <c r="D673" s="26"/>
    </row>
    <row r="674" spans="1:4" ht="18" x14ac:dyDescent="0.35">
      <c r="A674" s="25"/>
      <c r="B674" s="25"/>
      <c r="C674" s="25"/>
      <c r="D674" s="26"/>
    </row>
    <row r="675" spans="1:4" ht="18" x14ac:dyDescent="0.35">
      <c r="A675" s="25"/>
      <c r="B675" s="25"/>
      <c r="C675" s="25"/>
      <c r="D675" s="26"/>
    </row>
    <row r="676" spans="1:4" ht="18" x14ac:dyDescent="0.35">
      <c r="A676" s="25"/>
      <c r="B676" s="25"/>
      <c r="C676" s="25"/>
      <c r="D676" s="26"/>
    </row>
    <row r="677" spans="1:4" ht="18" x14ac:dyDescent="0.35">
      <c r="A677" s="25"/>
      <c r="B677" s="25"/>
      <c r="C677" s="25"/>
      <c r="D677" s="26"/>
    </row>
    <row r="678" spans="1:4" ht="18" x14ac:dyDescent="0.35">
      <c r="A678" s="25"/>
      <c r="B678" s="25"/>
      <c r="C678" s="25"/>
      <c r="D678" s="26"/>
    </row>
    <row r="679" spans="1:4" ht="18" x14ac:dyDescent="0.35">
      <c r="A679" s="25"/>
      <c r="B679" s="25"/>
      <c r="C679" s="25"/>
      <c r="D679" s="26"/>
    </row>
    <row r="680" spans="1:4" ht="18" x14ac:dyDescent="0.35">
      <c r="A680" s="25"/>
      <c r="B680" s="25"/>
      <c r="C680" s="25"/>
      <c r="D680" s="26"/>
    </row>
    <row r="681" spans="1:4" ht="18" x14ac:dyDescent="0.35">
      <c r="A681" s="25"/>
      <c r="B681" s="25"/>
      <c r="C681" s="25"/>
      <c r="D681" s="26"/>
    </row>
    <row r="682" spans="1:4" ht="18" x14ac:dyDescent="0.35">
      <c r="A682" s="25"/>
      <c r="B682" s="25"/>
      <c r="C682" s="25"/>
      <c r="D682" s="26"/>
    </row>
    <row r="683" spans="1:4" ht="18" x14ac:dyDescent="0.35">
      <c r="A683" s="25"/>
      <c r="B683" s="25"/>
      <c r="C683" s="25"/>
      <c r="D683" s="26"/>
    </row>
    <row r="684" spans="1:4" ht="18" x14ac:dyDescent="0.35">
      <c r="A684" s="25"/>
      <c r="B684" s="25"/>
      <c r="C684" s="25"/>
      <c r="D684" s="26"/>
    </row>
    <row r="685" spans="1:4" ht="18" x14ac:dyDescent="0.35">
      <c r="A685" s="25"/>
      <c r="B685" s="25"/>
      <c r="C685" s="25"/>
      <c r="D685" s="26"/>
    </row>
    <row r="686" spans="1:4" ht="18" x14ac:dyDescent="0.35">
      <c r="A686" s="25"/>
      <c r="B686" s="25"/>
      <c r="C686" s="25"/>
      <c r="D686" s="26"/>
    </row>
    <row r="687" spans="1:4" ht="18" x14ac:dyDescent="0.35">
      <c r="A687" s="25"/>
      <c r="B687" s="25"/>
      <c r="C687" s="25"/>
      <c r="D687" s="26"/>
    </row>
    <row r="688" spans="1:4" ht="18" x14ac:dyDescent="0.35">
      <c r="A688" s="25"/>
      <c r="B688" s="25"/>
      <c r="C688" s="25"/>
      <c r="D688" s="26"/>
    </row>
    <row r="689" spans="1:4" ht="18" x14ac:dyDescent="0.35">
      <c r="A689" s="25"/>
      <c r="B689" s="25"/>
      <c r="C689" s="25"/>
      <c r="D689" s="26"/>
    </row>
    <row r="690" spans="1:4" ht="18" x14ac:dyDescent="0.35">
      <c r="A690" s="25"/>
      <c r="B690" s="25"/>
      <c r="C690" s="25"/>
      <c r="D690" s="26"/>
    </row>
    <row r="691" spans="1:4" ht="18" x14ac:dyDescent="0.35">
      <c r="A691" s="25"/>
      <c r="B691" s="25"/>
      <c r="C691" s="25"/>
      <c r="D691" s="26"/>
    </row>
    <row r="692" spans="1:4" ht="18" x14ac:dyDescent="0.35">
      <c r="A692" s="25"/>
      <c r="B692" s="25"/>
      <c r="C692" s="25"/>
      <c r="D692" s="26"/>
    </row>
    <row r="693" spans="1:4" ht="18" x14ac:dyDescent="0.35">
      <c r="A693" s="25"/>
      <c r="B693" s="25"/>
      <c r="C693" s="25"/>
      <c r="D693" s="26"/>
    </row>
    <row r="694" spans="1:4" ht="18" x14ac:dyDescent="0.35">
      <c r="A694" s="25"/>
      <c r="B694" s="25"/>
      <c r="C694" s="25"/>
      <c r="D694" s="26"/>
    </row>
    <row r="695" spans="1:4" ht="18" x14ac:dyDescent="0.35">
      <c r="A695" s="25"/>
      <c r="B695" s="25"/>
      <c r="C695" s="25"/>
      <c r="D695" s="26"/>
    </row>
    <row r="696" spans="1:4" ht="18" x14ac:dyDescent="0.35">
      <c r="A696" s="25"/>
      <c r="B696" s="25"/>
      <c r="C696" s="25"/>
      <c r="D696" s="26"/>
    </row>
    <row r="697" spans="1:4" ht="18" x14ac:dyDescent="0.35">
      <c r="A697" s="25"/>
      <c r="B697" s="25"/>
      <c r="C697" s="25"/>
      <c r="D697" s="26"/>
    </row>
    <row r="698" spans="1:4" ht="18" x14ac:dyDescent="0.35">
      <c r="A698" s="25"/>
      <c r="B698" s="25"/>
      <c r="C698" s="25"/>
      <c r="D698" s="26"/>
    </row>
    <row r="699" spans="1:4" ht="18" x14ac:dyDescent="0.35">
      <c r="A699" s="25"/>
      <c r="B699" s="25"/>
      <c r="C699" s="25"/>
      <c r="D699" s="26"/>
    </row>
    <row r="700" spans="1:4" ht="18" x14ac:dyDescent="0.35">
      <c r="A700" s="25"/>
      <c r="B700" s="25"/>
      <c r="C700" s="25"/>
      <c r="D700" s="26"/>
    </row>
    <row r="701" spans="1:4" ht="18" x14ac:dyDescent="0.35">
      <c r="A701" s="25"/>
      <c r="B701" s="25"/>
      <c r="C701" s="25"/>
      <c r="D701" s="26"/>
    </row>
    <row r="702" spans="1:4" ht="18" x14ac:dyDescent="0.35">
      <c r="A702" s="25"/>
      <c r="B702" s="25"/>
      <c r="C702" s="25"/>
      <c r="D702" s="26"/>
    </row>
    <row r="703" spans="1:4" ht="18" x14ac:dyDescent="0.35">
      <c r="A703" s="25"/>
      <c r="B703" s="25"/>
      <c r="C703" s="25"/>
      <c r="D703" s="26"/>
    </row>
    <row r="704" spans="1:4" ht="18" x14ac:dyDescent="0.35">
      <c r="A704" s="25"/>
      <c r="B704" s="25"/>
      <c r="C704" s="25"/>
      <c r="D704" s="26"/>
    </row>
    <row r="705" spans="1:4" ht="18" x14ac:dyDescent="0.35">
      <c r="A705" s="25"/>
      <c r="B705" s="25"/>
      <c r="C705" s="25"/>
      <c r="D705" s="26"/>
    </row>
    <row r="706" spans="1:4" ht="18" x14ac:dyDescent="0.35">
      <c r="A706" s="25"/>
      <c r="B706" s="25"/>
      <c r="C706" s="25"/>
      <c r="D706" s="26"/>
    </row>
    <row r="707" spans="1:4" ht="18" x14ac:dyDescent="0.35">
      <c r="A707" s="25"/>
      <c r="B707" s="25"/>
      <c r="C707" s="25"/>
      <c r="D707" s="26"/>
    </row>
    <row r="708" spans="1:4" ht="18" x14ac:dyDescent="0.35">
      <c r="A708" s="25"/>
      <c r="B708" s="25"/>
      <c r="C708" s="25"/>
      <c r="D708" s="26"/>
    </row>
    <row r="709" spans="1:4" ht="18" x14ac:dyDescent="0.35">
      <c r="A709" s="25"/>
      <c r="B709" s="25"/>
      <c r="C709" s="25"/>
      <c r="D709" s="26"/>
    </row>
    <row r="710" spans="1:4" ht="18" x14ac:dyDescent="0.35">
      <c r="A710" s="25"/>
      <c r="B710" s="25"/>
      <c r="C710" s="25"/>
      <c r="D710" s="26"/>
    </row>
    <row r="711" spans="1:4" ht="18" x14ac:dyDescent="0.35">
      <c r="A711" s="25"/>
      <c r="B711" s="25"/>
      <c r="C711" s="25"/>
      <c r="D711" s="26"/>
    </row>
    <row r="712" spans="1:4" ht="18" x14ac:dyDescent="0.35">
      <c r="A712" s="25"/>
      <c r="B712" s="25"/>
      <c r="C712" s="25"/>
      <c r="D712" s="26"/>
    </row>
    <row r="713" spans="1:4" ht="18" x14ac:dyDescent="0.35">
      <c r="A713" s="25"/>
      <c r="B713" s="25"/>
      <c r="C713" s="25"/>
      <c r="D713" s="26"/>
    </row>
    <row r="714" spans="1:4" ht="18" x14ac:dyDescent="0.35">
      <c r="A714" s="25"/>
      <c r="B714" s="25"/>
      <c r="C714" s="25"/>
      <c r="D714" s="26"/>
    </row>
    <row r="715" spans="1:4" ht="18" x14ac:dyDescent="0.35">
      <c r="A715" s="25"/>
      <c r="B715" s="25"/>
      <c r="C715" s="25"/>
      <c r="D715" s="26"/>
    </row>
    <row r="716" spans="1:4" ht="18" x14ac:dyDescent="0.35">
      <c r="A716" s="25"/>
      <c r="B716" s="25"/>
      <c r="C716" s="25"/>
      <c r="D716" s="26"/>
    </row>
    <row r="717" spans="1:4" ht="18" x14ac:dyDescent="0.35">
      <c r="A717" s="25"/>
      <c r="B717" s="25"/>
      <c r="C717" s="25"/>
      <c r="D717" s="26"/>
    </row>
    <row r="718" spans="1:4" ht="18" x14ac:dyDescent="0.35">
      <c r="A718" s="25"/>
      <c r="B718" s="25"/>
      <c r="C718" s="25"/>
      <c r="D718" s="26"/>
    </row>
    <row r="719" spans="1:4" ht="18" x14ac:dyDescent="0.35">
      <c r="A719" s="25"/>
      <c r="B719" s="25"/>
      <c r="C719" s="25"/>
      <c r="D719" s="26"/>
    </row>
    <row r="720" spans="1:4" ht="18" x14ac:dyDescent="0.35">
      <c r="A720" s="25"/>
      <c r="B720" s="25"/>
      <c r="C720" s="25"/>
      <c r="D720" s="26"/>
    </row>
    <row r="721" spans="1:4" ht="18" x14ac:dyDescent="0.35">
      <c r="A721" s="25"/>
      <c r="B721" s="25"/>
      <c r="C721" s="25"/>
      <c r="D721" s="26"/>
    </row>
    <row r="722" spans="1:4" ht="18" x14ac:dyDescent="0.35">
      <c r="A722" s="25"/>
      <c r="B722" s="25"/>
      <c r="C722" s="25"/>
      <c r="D722" s="26"/>
    </row>
    <row r="723" spans="1:4" ht="18" x14ac:dyDescent="0.35">
      <c r="A723" s="25"/>
      <c r="B723" s="25"/>
      <c r="C723" s="25"/>
      <c r="D723" s="26"/>
    </row>
    <row r="724" spans="1:4" ht="18" x14ac:dyDescent="0.35">
      <c r="A724" s="25"/>
      <c r="B724" s="25"/>
      <c r="C724" s="25"/>
      <c r="D724" s="26"/>
    </row>
    <row r="725" spans="1:4" ht="18" x14ac:dyDescent="0.35">
      <c r="A725" s="25"/>
      <c r="B725" s="25"/>
      <c r="C725" s="25"/>
      <c r="D725" s="26"/>
    </row>
    <row r="726" spans="1:4" ht="18" x14ac:dyDescent="0.35">
      <c r="A726" s="25"/>
      <c r="B726" s="25"/>
      <c r="C726" s="25"/>
      <c r="D726" s="26"/>
    </row>
    <row r="727" spans="1:4" ht="18" x14ac:dyDescent="0.35">
      <c r="A727" s="25"/>
      <c r="B727" s="25"/>
      <c r="C727" s="25"/>
      <c r="D727" s="26"/>
    </row>
    <row r="728" spans="1:4" ht="18" x14ac:dyDescent="0.35">
      <c r="A728" s="25"/>
      <c r="B728" s="25"/>
      <c r="C728" s="25"/>
      <c r="D728" s="26"/>
    </row>
    <row r="729" spans="1:4" ht="18" x14ac:dyDescent="0.35">
      <c r="A729" s="25"/>
      <c r="B729" s="25"/>
      <c r="C729" s="25"/>
      <c r="D729" s="26"/>
    </row>
    <row r="730" spans="1:4" ht="18" x14ac:dyDescent="0.35">
      <c r="A730" s="25"/>
      <c r="B730" s="25"/>
      <c r="C730" s="25"/>
      <c r="D730" s="26"/>
    </row>
    <row r="731" spans="1:4" ht="18" x14ac:dyDescent="0.35">
      <c r="A731" s="25"/>
      <c r="B731" s="25"/>
      <c r="C731" s="25"/>
      <c r="D731" s="26"/>
    </row>
    <row r="732" spans="1:4" ht="18" x14ac:dyDescent="0.35">
      <c r="A732" s="25"/>
      <c r="B732" s="25"/>
      <c r="C732" s="25"/>
      <c r="D732" s="26"/>
    </row>
    <row r="733" spans="1:4" ht="18" x14ac:dyDescent="0.35">
      <c r="A733" s="25"/>
      <c r="B733" s="25"/>
      <c r="C733" s="25"/>
      <c r="D733" s="26"/>
    </row>
    <row r="734" spans="1:4" ht="18" x14ac:dyDescent="0.35">
      <c r="A734" s="25"/>
      <c r="B734" s="25"/>
      <c r="C734" s="25"/>
      <c r="D734" s="26"/>
    </row>
    <row r="735" spans="1:4" ht="18" x14ac:dyDescent="0.35">
      <c r="A735" s="25"/>
      <c r="B735" s="25"/>
      <c r="C735" s="25"/>
      <c r="D735" s="26"/>
    </row>
    <row r="736" spans="1:4" ht="18" x14ac:dyDescent="0.35">
      <c r="A736" s="25"/>
      <c r="B736" s="25"/>
      <c r="C736" s="25"/>
      <c r="D736" s="26"/>
    </row>
    <row r="737" spans="1:4" ht="18" x14ac:dyDescent="0.35">
      <c r="A737" s="25"/>
      <c r="B737" s="25"/>
      <c r="C737" s="25"/>
      <c r="D737" s="26"/>
    </row>
    <row r="738" spans="1:4" ht="18" x14ac:dyDescent="0.35">
      <c r="A738" s="25"/>
      <c r="B738" s="25"/>
      <c r="C738" s="25"/>
      <c r="D738" s="26"/>
    </row>
    <row r="739" spans="1:4" ht="18" x14ac:dyDescent="0.35">
      <c r="A739" s="25"/>
      <c r="B739" s="25"/>
      <c r="C739" s="25"/>
      <c r="D739" s="26"/>
    </row>
    <row r="740" spans="1:4" ht="18" x14ac:dyDescent="0.35">
      <c r="A740" s="25"/>
      <c r="B740" s="25"/>
      <c r="C740" s="25"/>
      <c r="D740" s="26"/>
    </row>
    <row r="741" spans="1:4" ht="18" x14ac:dyDescent="0.35">
      <c r="A741" s="25"/>
      <c r="B741" s="25"/>
      <c r="C741" s="25"/>
      <c r="D741" s="26"/>
    </row>
    <row r="742" spans="1:4" ht="18" x14ac:dyDescent="0.35">
      <c r="A742" s="25"/>
      <c r="B742" s="25"/>
      <c r="C742" s="25"/>
      <c r="D742" s="26"/>
    </row>
    <row r="743" spans="1:4" ht="18" x14ac:dyDescent="0.35">
      <c r="A743" s="25"/>
      <c r="B743" s="25"/>
      <c r="C743" s="25"/>
      <c r="D743" s="26"/>
    </row>
    <row r="744" spans="1:4" ht="18" x14ac:dyDescent="0.35">
      <c r="A744" s="25"/>
      <c r="B744" s="25"/>
      <c r="C744" s="25"/>
      <c r="D744" s="26"/>
    </row>
    <row r="745" spans="1:4" ht="18" x14ac:dyDescent="0.35">
      <c r="A745" s="25"/>
      <c r="B745" s="25"/>
      <c r="C745" s="25"/>
      <c r="D745" s="26"/>
    </row>
    <row r="746" spans="1:4" ht="18" x14ac:dyDescent="0.35">
      <c r="A746" s="25"/>
      <c r="B746" s="25"/>
      <c r="C746" s="25"/>
      <c r="D746" s="26"/>
    </row>
    <row r="747" spans="1:4" ht="18" x14ac:dyDescent="0.35">
      <c r="A747" s="25"/>
      <c r="B747" s="25"/>
      <c r="C747" s="25"/>
      <c r="D747" s="26"/>
    </row>
    <row r="748" spans="1:4" ht="18" x14ac:dyDescent="0.35">
      <c r="A748" s="25"/>
      <c r="B748" s="25"/>
      <c r="C748" s="25"/>
      <c r="D748" s="26"/>
    </row>
    <row r="749" spans="1:4" ht="18" x14ac:dyDescent="0.35">
      <c r="A749" s="25"/>
      <c r="B749" s="25"/>
      <c r="C749" s="25"/>
      <c r="D749" s="26"/>
    </row>
    <row r="750" spans="1:4" ht="18" x14ac:dyDescent="0.35">
      <c r="A750" s="25"/>
      <c r="B750" s="25"/>
      <c r="C750" s="25"/>
      <c r="D750" s="26"/>
    </row>
    <row r="751" spans="1:4" ht="18" x14ac:dyDescent="0.35">
      <c r="A751" s="25"/>
      <c r="B751" s="25"/>
      <c r="C751" s="25"/>
      <c r="D751" s="26"/>
    </row>
    <row r="752" spans="1:4" ht="18" x14ac:dyDescent="0.35">
      <c r="A752" s="25"/>
      <c r="B752" s="25"/>
      <c r="C752" s="25"/>
      <c r="D752" s="26"/>
    </row>
    <row r="753" spans="1:4" ht="18" x14ac:dyDescent="0.35">
      <c r="A753" s="25"/>
      <c r="B753" s="25"/>
      <c r="C753" s="25"/>
      <c r="D753" s="26"/>
    </row>
    <row r="754" spans="1:4" ht="18" x14ac:dyDescent="0.35">
      <c r="A754" s="25"/>
      <c r="B754" s="25"/>
      <c r="C754" s="25"/>
      <c r="D754" s="26"/>
    </row>
    <row r="755" spans="1:4" ht="18" x14ac:dyDescent="0.35">
      <c r="A755" s="25"/>
      <c r="B755" s="25"/>
      <c r="C755" s="25"/>
      <c r="D755" s="26"/>
    </row>
    <row r="756" spans="1:4" ht="18" x14ac:dyDescent="0.35">
      <c r="A756" s="25"/>
      <c r="B756" s="25"/>
      <c r="C756" s="25"/>
      <c r="D756" s="26"/>
    </row>
    <row r="757" spans="1:4" ht="18" x14ac:dyDescent="0.35">
      <c r="A757" s="25"/>
      <c r="B757" s="25"/>
      <c r="C757" s="25"/>
      <c r="D757" s="26"/>
    </row>
    <row r="758" spans="1:4" ht="18" x14ac:dyDescent="0.35">
      <c r="A758" s="25"/>
      <c r="B758" s="25"/>
      <c r="C758" s="25"/>
      <c r="D758" s="26"/>
    </row>
    <row r="759" spans="1:4" ht="18" x14ac:dyDescent="0.35">
      <c r="A759" s="25"/>
      <c r="B759" s="25"/>
      <c r="C759" s="25"/>
      <c r="D759" s="26"/>
    </row>
    <row r="760" spans="1:4" ht="18" x14ac:dyDescent="0.35">
      <c r="A760" s="25"/>
      <c r="B760" s="25"/>
      <c r="C760" s="25"/>
      <c r="D760" s="26"/>
    </row>
    <row r="761" spans="1:4" ht="18" x14ac:dyDescent="0.35">
      <c r="A761" s="25"/>
      <c r="B761" s="25"/>
      <c r="C761" s="25"/>
      <c r="D761" s="26"/>
    </row>
    <row r="762" spans="1:4" ht="18" x14ac:dyDescent="0.35">
      <c r="A762" s="25"/>
      <c r="B762" s="25"/>
      <c r="C762" s="25"/>
      <c r="D762" s="26"/>
    </row>
    <row r="763" spans="1:4" ht="18" x14ac:dyDescent="0.35">
      <c r="A763" s="25"/>
      <c r="B763" s="25"/>
      <c r="C763" s="25"/>
      <c r="D763" s="26"/>
    </row>
    <row r="764" spans="1:4" ht="18" x14ac:dyDescent="0.35">
      <c r="A764" s="25"/>
      <c r="B764" s="25"/>
      <c r="C764" s="25"/>
      <c r="D764" s="26"/>
    </row>
    <row r="765" spans="1:4" ht="18" x14ac:dyDescent="0.35">
      <c r="A765" s="25"/>
      <c r="B765" s="25"/>
      <c r="C765" s="25"/>
      <c r="D765" s="26"/>
    </row>
    <row r="766" spans="1:4" ht="18" x14ac:dyDescent="0.35">
      <c r="A766" s="25"/>
      <c r="B766" s="25"/>
      <c r="C766" s="25"/>
      <c r="D766" s="26"/>
    </row>
    <row r="767" spans="1:4" ht="18" x14ac:dyDescent="0.35">
      <c r="A767" s="25"/>
      <c r="B767" s="25"/>
      <c r="C767" s="25"/>
      <c r="D767" s="26"/>
    </row>
    <row r="768" spans="1:4" ht="18" x14ac:dyDescent="0.35">
      <c r="A768" s="25"/>
      <c r="B768" s="25"/>
      <c r="C768" s="25"/>
      <c r="D768" s="26"/>
    </row>
    <row r="769" spans="1:4" ht="18" x14ac:dyDescent="0.35">
      <c r="A769" s="25"/>
      <c r="B769" s="25"/>
      <c r="C769" s="25"/>
      <c r="D769" s="26"/>
    </row>
    <row r="770" spans="1:4" ht="18" x14ac:dyDescent="0.35">
      <c r="A770" s="25"/>
      <c r="B770" s="25"/>
      <c r="C770" s="25"/>
      <c r="D770" s="26"/>
    </row>
    <row r="771" spans="1:4" ht="18" x14ac:dyDescent="0.35">
      <c r="A771" s="25"/>
      <c r="B771" s="25"/>
      <c r="C771" s="25"/>
      <c r="D771" s="26"/>
    </row>
    <row r="772" spans="1:4" ht="18" x14ac:dyDescent="0.35">
      <c r="A772" s="25"/>
      <c r="B772" s="25"/>
      <c r="C772" s="25"/>
      <c r="D772" s="26"/>
    </row>
    <row r="773" spans="1:4" ht="18" x14ac:dyDescent="0.35">
      <c r="A773" s="25"/>
      <c r="B773" s="25"/>
      <c r="C773" s="25"/>
      <c r="D773" s="26"/>
    </row>
    <row r="774" spans="1:4" ht="18" x14ac:dyDescent="0.35">
      <c r="A774" s="25"/>
      <c r="B774" s="25"/>
      <c r="C774" s="25"/>
      <c r="D774" s="26"/>
    </row>
    <row r="775" spans="1:4" ht="18" x14ac:dyDescent="0.35">
      <c r="A775" s="25"/>
      <c r="B775" s="25"/>
      <c r="C775" s="25"/>
      <c r="D775" s="26"/>
    </row>
    <row r="776" spans="1:4" ht="18" x14ac:dyDescent="0.35">
      <c r="A776" s="25"/>
      <c r="B776" s="25"/>
      <c r="C776" s="25"/>
      <c r="D776" s="26"/>
    </row>
    <row r="777" spans="1:4" ht="18" x14ac:dyDescent="0.35">
      <c r="A777" s="25"/>
      <c r="B777" s="25"/>
      <c r="C777" s="25"/>
      <c r="D777" s="26"/>
    </row>
    <row r="778" spans="1:4" ht="18" x14ac:dyDescent="0.35">
      <c r="A778" s="25"/>
      <c r="B778" s="25"/>
      <c r="C778" s="25"/>
      <c r="D778" s="26"/>
    </row>
    <row r="779" spans="1:4" ht="18" x14ac:dyDescent="0.35">
      <c r="A779" s="25"/>
      <c r="B779" s="25"/>
      <c r="C779" s="25"/>
      <c r="D779" s="26"/>
    </row>
    <row r="780" spans="1:4" ht="18" x14ac:dyDescent="0.35">
      <c r="A780" s="25"/>
      <c r="B780" s="25"/>
      <c r="C780" s="25"/>
      <c r="D780" s="26"/>
    </row>
    <row r="781" spans="1:4" ht="18" x14ac:dyDescent="0.35">
      <c r="A781" s="25"/>
      <c r="B781" s="25"/>
      <c r="C781" s="25"/>
      <c r="D781" s="26"/>
    </row>
    <row r="782" spans="1:4" ht="18" x14ac:dyDescent="0.35">
      <c r="A782" s="25"/>
      <c r="B782" s="25"/>
      <c r="C782" s="25"/>
      <c r="D782" s="26"/>
    </row>
    <row r="783" spans="1:4" ht="18" x14ac:dyDescent="0.35">
      <c r="A783" s="25"/>
      <c r="B783" s="25"/>
      <c r="C783" s="25"/>
      <c r="D783" s="26"/>
    </row>
    <row r="784" spans="1:4" ht="18" x14ac:dyDescent="0.35">
      <c r="A784" s="25"/>
      <c r="B784" s="25"/>
      <c r="C784" s="25"/>
      <c r="D784" s="26"/>
    </row>
    <row r="785" spans="1:4" ht="18" x14ac:dyDescent="0.35">
      <c r="A785" s="25"/>
      <c r="B785" s="25"/>
      <c r="C785" s="25"/>
      <c r="D785" s="26"/>
    </row>
    <row r="786" spans="1:4" ht="18" x14ac:dyDescent="0.35">
      <c r="A786" s="25"/>
      <c r="B786" s="25"/>
      <c r="C786" s="25"/>
      <c r="D786" s="26"/>
    </row>
    <row r="787" spans="1:4" ht="18" x14ac:dyDescent="0.35">
      <c r="A787" s="25"/>
      <c r="B787" s="25"/>
      <c r="C787" s="25"/>
      <c r="D787" s="26"/>
    </row>
    <row r="788" spans="1:4" ht="18" x14ac:dyDescent="0.35">
      <c r="A788" s="25"/>
      <c r="B788" s="25"/>
      <c r="C788" s="25"/>
      <c r="D788" s="26"/>
    </row>
    <row r="789" spans="1:4" ht="18" x14ac:dyDescent="0.35">
      <c r="A789" s="25"/>
      <c r="B789" s="25"/>
      <c r="C789" s="25"/>
      <c r="D789" s="26"/>
    </row>
    <row r="790" spans="1:4" ht="18" x14ac:dyDescent="0.35">
      <c r="A790" s="25"/>
      <c r="B790" s="25"/>
      <c r="C790" s="25"/>
      <c r="D790" s="26"/>
    </row>
    <row r="791" spans="1:4" ht="18" x14ac:dyDescent="0.35">
      <c r="A791" s="25"/>
      <c r="B791" s="25"/>
      <c r="C791" s="25"/>
      <c r="D791" s="26"/>
    </row>
    <row r="792" spans="1:4" ht="18" x14ac:dyDescent="0.35">
      <c r="A792" s="25"/>
      <c r="B792" s="25"/>
      <c r="C792" s="25"/>
      <c r="D792" s="26"/>
    </row>
    <row r="793" spans="1:4" ht="18" x14ac:dyDescent="0.35">
      <c r="A793" s="25"/>
      <c r="B793" s="25"/>
      <c r="C793" s="25"/>
      <c r="D793" s="26"/>
    </row>
    <row r="794" spans="1:4" ht="18" x14ac:dyDescent="0.35">
      <c r="A794" s="25"/>
      <c r="B794" s="25"/>
      <c r="C794" s="25"/>
      <c r="D794" s="26"/>
    </row>
    <row r="795" spans="1:4" ht="18" x14ac:dyDescent="0.35">
      <c r="A795" s="25"/>
      <c r="B795" s="25"/>
      <c r="C795" s="25"/>
      <c r="D795" s="26"/>
    </row>
    <row r="796" spans="1:4" ht="18" x14ac:dyDescent="0.35">
      <c r="A796" s="25"/>
      <c r="B796" s="25"/>
      <c r="C796" s="25"/>
      <c r="D796" s="26"/>
    </row>
    <row r="797" spans="1:4" ht="18" x14ac:dyDescent="0.35">
      <c r="A797" s="25"/>
      <c r="B797" s="25"/>
      <c r="C797" s="25"/>
      <c r="D797" s="26"/>
    </row>
    <row r="798" spans="1:4" ht="18" x14ac:dyDescent="0.35">
      <c r="A798" s="25"/>
      <c r="B798" s="25"/>
      <c r="C798" s="25"/>
      <c r="D798" s="26"/>
    </row>
    <row r="799" spans="1:4" ht="18" x14ac:dyDescent="0.35">
      <c r="A799" s="25"/>
      <c r="B799" s="25"/>
      <c r="C799" s="25"/>
      <c r="D799" s="26"/>
    </row>
    <row r="800" spans="1:4" ht="18" x14ac:dyDescent="0.35">
      <c r="A800" s="25"/>
      <c r="B800" s="25"/>
      <c r="C800" s="25"/>
      <c r="D800" s="26"/>
    </row>
    <row r="801" spans="1:4" ht="18" x14ac:dyDescent="0.35">
      <c r="A801" s="25"/>
      <c r="B801" s="25"/>
      <c r="C801" s="25"/>
      <c r="D801" s="26"/>
    </row>
    <row r="802" spans="1:4" ht="18" x14ac:dyDescent="0.35">
      <c r="A802" s="25"/>
      <c r="B802" s="25"/>
      <c r="C802" s="25"/>
      <c r="D802" s="26"/>
    </row>
    <row r="803" spans="1:4" ht="18" x14ac:dyDescent="0.35">
      <c r="A803" s="25"/>
      <c r="B803" s="25"/>
      <c r="C803" s="25"/>
      <c r="D803" s="26"/>
    </row>
    <row r="804" spans="1:4" ht="18" x14ac:dyDescent="0.35">
      <c r="A804" s="25"/>
      <c r="B804" s="25"/>
      <c r="C804" s="25"/>
      <c r="D804" s="26"/>
    </row>
    <row r="805" spans="1:4" ht="18" x14ac:dyDescent="0.35">
      <c r="A805" s="25"/>
      <c r="B805" s="25"/>
      <c r="C805" s="25"/>
      <c r="D805" s="26"/>
    </row>
    <row r="806" spans="1:4" ht="18" x14ac:dyDescent="0.35">
      <c r="A806" s="25"/>
      <c r="B806" s="25"/>
      <c r="C806" s="25"/>
      <c r="D806" s="26"/>
    </row>
    <row r="807" spans="1:4" ht="18" x14ac:dyDescent="0.35">
      <c r="A807" s="25"/>
      <c r="B807" s="25"/>
      <c r="C807" s="25"/>
      <c r="D807" s="26"/>
    </row>
    <row r="808" spans="1:4" ht="18" x14ac:dyDescent="0.35">
      <c r="A808" s="25"/>
      <c r="B808" s="25"/>
      <c r="C808" s="25"/>
      <c r="D808" s="26"/>
    </row>
    <row r="809" spans="1:4" ht="18" x14ac:dyDescent="0.35">
      <c r="A809" s="25"/>
      <c r="B809" s="25"/>
      <c r="C809" s="25"/>
      <c r="D809" s="26"/>
    </row>
    <row r="810" spans="1:4" ht="18" x14ac:dyDescent="0.35">
      <c r="A810" s="25"/>
      <c r="B810" s="25"/>
      <c r="C810" s="25"/>
      <c r="D810" s="26"/>
    </row>
    <row r="811" spans="1:4" ht="18" x14ac:dyDescent="0.35">
      <c r="A811" s="25"/>
      <c r="B811" s="25"/>
      <c r="C811" s="25"/>
      <c r="D811" s="26"/>
    </row>
    <row r="812" spans="1:4" ht="18" x14ac:dyDescent="0.35">
      <c r="A812" s="25"/>
      <c r="B812" s="25"/>
      <c r="C812" s="25"/>
      <c r="D812" s="26"/>
    </row>
    <row r="813" spans="1:4" ht="18" x14ac:dyDescent="0.35">
      <c r="A813" s="25"/>
      <c r="B813" s="25"/>
      <c r="C813" s="25"/>
      <c r="D813" s="26"/>
    </row>
    <row r="814" spans="1:4" ht="18" x14ac:dyDescent="0.35">
      <c r="A814" s="25"/>
      <c r="B814" s="25"/>
      <c r="C814" s="25"/>
      <c r="D814" s="26"/>
    </row>
    <row r="815" spans="1:4" ht="18" x14ac:dyDescent="0.35">
      <c r="A815" s="25"/>
      <c r="B815" s="25"/>
      <c r="C815" s="25"/>
      <c r="D815" s="26"/>
    </row>
    <row r="816" spans="1:4" ht="18" x14ac:dyDescent="0.35">
      <c r="A816" s="25"/>
      <c r="B816" s="25"/>
      <c r="C816" s="25"/>
      <c r="D816" s="26"/>
    </row>
    <row r="817" spans="1:4" ht="18" x14ac:dyDescent="0.35">
      <c r="A817" s="25"/>
      <c r="B817" s="25"/>
      <c r="C817" s="25"/>
      <c r="D817" s="26"/>
    </row>
    <row r="818" spans="1:4" ht="18" x14ac:dyDescent="0.35">
      <c r="A818" s="25"/>
      <c r="B818" s="25"/>
      <c r="C818" s="25"/>
      <c r="D818" s="26"/>
    </row>
    <row r="819" spans="1:4" ht="18" x14ac:dyDescent="0.35">
      <c r="A819" s="25"/>
      <c r="B819" s="25"/>
      <c r="C819" s="25"/>
      <c r="D819" s="26"/>
    </row>
    <row r="820" spans="1:4" ht="18" x14ac:dyDescent="0.35">
      <c r="A820" s="25"/>
      <c r="B820" s="25"/>
      <c r="C820" s="25"/>
      <c r="D820" s="26"/>
    </row>
    <row r="821" spans="1:4" ht="18" x14ac:dyDescent="0.35">
      <c r="A821" s="25"/>
      <c r="B821" s="25"/>
      <c r="C821" s="25"/>
      <c r="D821" s="26"/>
    </row>
    <row r="822" spans="1:4" ht="18" x14ac:dyDescent="0.35">
      <c r="A822" s="25"/>
      <c r="B822" s="25"/>
      <c r="C822" s="25"/>
      <c r="D822" s="26"/>
    </row>
    <row r="823" spans="1:4" ht="18" x14ac:dyDescent="0.35">
      <c r="A823" s="25"/>
      <c r="B823" s="25"/>
      <c r="C823" s="25"/>
      <c r="D823" s="26"/>
    </row>
    <row r="824" spans="1:4" ht="18" x14ac:dyDescent="0.35">
      <c r="A824" s="25"/>
      <c r="B824" s="25"/>
      <c r="C824" s="25"/>
      <c r="D824" s="26"/>
    </row>
    <row r="825" spans="1:4" ht="18" x14ac:dyDescent="0.35">
      <c r="A825" s="25"/>
      <c r="B825" s="25"/>
      <c r="C825" s="25"/>
      <c r="D825" s="26"/>
    </row>
    <row r="826" spans="1:4" ht="18" x14ac:dyDescent="0.35">
      <c r="A826" s="25"/>
      <c r="B826" s="25"/>
      <c r="C826" s="25"/>
      <c r="D826" s="26"/>
    </row>
    <row r="827" spans="1:4" ht="18" x14ac:dyDescent="0.35">
      <c r="A827" s="25"/>
      <c r="B827" s="25"/>
      <c r="C827" s="25"/>
      <c r="D827" s="26"/>
    </row>
    <row r="828" spans="1:4" ht="18" x14ac:dyDescent="0.35">
      <c r="A828" s="25"/>
      <c r="B828" s="25"/>
      <c r="C828" s="25"/>
      <c r="D828" s="26"/>
    </row>
    <row r="829" spans="1:4" ht="18" x14ac:dyDescent="0.35">
      <c r="A829" s="25"/>
      <c r="B829" s="25"/>
      <c r="C829" s="25"/>
      <c r="D829" s="26"/>
    </row>
    <row r="830" spans="1:4" ht="18" x14ac:dyDescent="0.35">
      <c r="A830" s="25"/>
      <c r="B830" s="25"/>
      <c r="C830" s="25"/>
      <c r="D830" s="26"/>
    </row>
    <row r="831" spans="1:4" ht="18" x14ac:dyDescent="0.35">
      <c r="A831" s="25"/>
      <c r="B831" s="25"/>
      <c r="C831" s="25"/>
      <c r="D831" s="26"/>
    </row>
    <row r="832" spans="1:4" ht="18" x14ac:dyDescent="0.35">
      <c r="A832" s="25"/>
      <c r="B832" s="25"/>
      <c r="C832" s="25"/>
      <c r="D832" s="26"/>
    </row>
    <row r="833" spans="1:4" ht="18" x14ac:dyDescent="0.35">
      <c r="A833" s="25"/>
      <c r="B833" s="25"/>
      <c r="C833" s="25"/>
      <c r="D833" s="26"/>
    </row>
    <row r="834" spans="1:4" ht="18" x14ac:dyDescent="0.35">
      <c r="A834" s="25"/>
      <c r="B834" s="25"/>
      <c r="C834" s="25"/>
      <c r="D834" s="26"/>
    </row>
    <row r="835" spans="1:4" ht="18" x14ac:dyDescent="0.35">
      <c r="A835" s="25"/>
      <c r="B835" s="25"/>
      <c r="C835" s="25"/>
      <c r="D835" s="26"/>
    </row>
    <row r="836" spans="1:4" ht="18" x14ac:dyDescent="0.35">
      <c r="A836" s="25"/>
      <c r="B836" s="25"/>
      <c r="C836" s="25"/>
      <c r="D836" s="26"/>
    </row>
    <row r="837" spans="1:4" ht="18" x14ac:dyDescent="0.35">
      <c r="A837" s="25"/>
      <c r="B837" s="25"/>
      <c r="C837" s="25"/>
      <c r="D837" s="26"/>
    </row>
    <row r="838" spans="1:4" ht="18" x14ac:dyDescent="0.35">
      <c r="A838" s="25"/>
      <c r="B838" s="25"/>
      <c r="C838" s="25"/>
      <c r="D838" s="26"/>
    </row>
    <row r="839" spans="1:4" ht="18" x14ac:dyDescent="0.35">
      <c r="A839" s="25"/>
      <c r="B839" s="25"/>
      <c r="C839" s="25"/>
      <c r="D839" s="26"/>
    </row>
    <row r="840" spans="1:4" ht="18" x14ac:dyDescent="0.35">
      <c r="A840" s="25"/>
      <c r="B840" s="25"/>
      <c r="C840" s="25"/>
      <c r="D840" s="26"/>
    </row>
    <row r="841" spans="1:4" ht="18" x14ac:dyDescent="0.35">
      <c r="A841" s="25"/>
      <c r="B841" s="25"/>
      <c r="C841" s="25"/>
      <c r="D841" s="26"/>
    </row>
    <row r="842" spans="1:4" ht="18" x14ac:dyDescent="0.35">
      <c r="A842" s="25"/>
      <c r="B842" s="25"/>
      <c r="C842" s="25"/>
      <c r="D842" s="26"/>
    </row>
    <row r="843" spans="1:4" ht="18" x14ac:dyDescent="0.35">
      <c r="A843" s="25"/>
      <c r="B843" s="25"/>
      <c r="C843" s="25"/>
      <c r="D843" s="26"/>
    </row>
    <row r="844" spans="1:4" ht="18" x14ac:dyDescent="0.35">
      <c r="A844" s="25"/>
      <c r="B844" s="25"/>
      <c r="C844" s="25"/>
      <c r="D844" s="26"/>
    </row>
    <row r="845" spans="1:4" ht="18" x14ac:dyDescent="0.35">
      <c r="A845" s="25"/>
      <c r="B845" s="25"/>
      <c r="C845" s="25"/>
      <c r="D845" s="26"/>
    </row>
    <row r="846" spans="1:4" ht="18" x14ac:dyDescent="0.35">
      <c r="A846" s="25"/>
      <c r="B846" s="25"/>
      <c r="C846" s="25"/>
      <c r="D846" s="26"/>
    </row>
    <row r="847" spans="1:4" ht="18" x14ac:dyDescent="0.35">
      <c r="A847" s="25"/>
      <c r="B847" s="25"/>
      <c r="C847" s="25"/>
      <c r="D847" s="26"/>
    </row>
    <row r="848" spans="1:4" ht="18" x14ac:dyDescent="0.35">
      <c r="A848" s="25"/>
      <c r="B848" s="25"/>
      <c r="C848" s="25"/>
      <c r="D848" s="26"/>
    </row>
    <row r="849" spans="1:4" ht="18" x14ac:dyDescent="0.35">
      <c r="A849" s="25"/>
      <c r="B849" s="25"/>
      <c r="C849" s="25"/>
      <c r="D849" s="26"/>
    </row>
    <row r="850" spans="1:4" ht="18" x14ac:dyDescent="0.35">
      <c r="A850" s="25"/>
      <c r="B850" s="25"/>
      <c r="C850" s="25"/>
      <c r="D850" s="26"/>
    </row>
    <row r="851" spans="1:4" ht="18" x14ac:dyDescent="0.35">
      <c r="A851" s="25"/>
      <c r="B851" s="25"/>
      <c r="C851" s="25"/>
      <c r="D851" s="26"/>
    </row>
    <row r="852" spans="1:4" ht="18" x14ac:dyDescent="0.35">
      <c r="A852" s="25"/>
      <c r="B852" s="25"/>
      <c r="C852" s="25"/>
      <c r="D852" s="26"/>
    </row>
    <row r="853" spans="1:4" ht="18" x14ac:dyDescent="0.35">
      <c r="A853" s="25"/>
      <c r="B853" s="25"/>
      <c r="C853" s="25"/>
      <c r="D853" s="26"/>
    </row>
    <row r="854" spans="1:4" ht="18" x14ac:dyDescent="0.35">
      <c r="A854" s="25"/>
      <c r="B854" s="25"/>
      <c r="C854" s="25"/>
      <c r="D854" s="26"/>
    </row>
    <row r="855" spans="1:4" ht="18" x14ac:dyDescent="0.35">
      <c r="A855" s="25"/>
      <c r="B855" s="25"/>
      <c r="C855" s="25"/>
      <c r="D855" s="26"/>
    </row>
    <row r="856" spans="1:4" ht="18" x14ac:dyDescent="0.35">
      <c r="A856" s="25"/>
      <c r="B856" s="25"/>
      <c r="C856" s="25"/>
      <c r="D856" s="26"/>
    </row>
    <row r="857" spans="1:4" ht="18" x14ac:dyDescent="0.35">
      <c r="A857" s="25"/>
      <c r="B857" s="25"/>
      <c r="C857" s="25"/>
      <c r="D857" s="26"/>
    </row>
    <row r="858" spans="1:4" ht="18" x14ac:dyDescent="0.35">
      <c r="A858" s="25"/>
      <c r="B858" s="25"/>
      <c r="C858" s="25"/>
      <c r="D858" s="26"/>
    </row>
    <row r="859" spans="1:4" ht="18" x14ac:dyDescent="0.35">
      <c r="A859" s="25"/>
      <c r="B859" s="25"/>
      <c r="C859" s="25"/>
      <c r="D859" s="26"/>
    </row>
    <row r="860" spans="1:4" ht="18" x14ac:dyDescent="0.35">
      <c r="A860" s="25"/>
      <c r="B860" s="25"/>
      <c r="C860" s="25"/>
      <c r="D860" s="26"/>
    </row>
    <row r="861" spans="1:4" ht="18" x14ac:dyDescent="0.35">
      <c r="A861" s="25"/>
      <c r="B861" s="25"/>
      <c r="C861" s="25"/>
      <c r="D861" s="26"/>
    </row>
    <row r="862" spans="1:4" ht="18" x14ac:dyDescent="0.35">
      <c r="A862" s="25"/>
      <c r="B862" s="25"/>
      <c r="C862" s="25"/>
      <c r="D862" s="26"/>
    </row>
    <row r="863" spans="1:4" ht="18" x14ac:dyDescent="0.35">
      <c r="A863" s="25"/>
      <c r="B863" s="25"/>
      <c r="C863" s="25"/>
      <c r="D863" s="26"/>
    </row>
    <row r="864" spans="1:4" ht="18" x14ac:dyDescent="0.35">
      <c r="A864" s="25"/>
      <c r="B864" s="25"/>
      <c r="C864" s="25"/>
      <c r="D864" s="26"/>
    </row>
    <row r="865" spans="1:4" ht="18" x14ac:dyDescent="0.35">
      <c r="A865" s="25"/>
      <c r="B865" s="25"/>
      <c r="C865" s="25"/>
      <c r="D865" s="26"/>
    </row>
    <row r="866" spans="1:4" ht="18" x14ac:dyDescent="0.35">
      <c r="A866" s="25"/>
      <c r="B866" s="25"/>
      <c r="C866" s="25"/>
      <c r="D866" s="26"/>
    </row>
    <row r="867" spans="1:4" ht="18" x14ac:dyDescent="0.35">
      <c r="A867" s="25"/>
      <c r="B867" s="25"/>
      <c r="C867" s="25"/>
      <c r="D867" s="26"/>
    </row>
    <row r="868" spans="1:4" ht="18" x14ac:dyDescent="0.35">
      <c r="A868" s="25"/>
      <c r="B868" s="25"/>
      <c r="C868" s="25"/>
      <c r="D868" s="26"/>
    </row>
    <row r="869" spans="1:4" ht="18" x14ac:dyDescent="0.35">
      <c r="A869" s="25"/>
      <c r="B869" s="25"/>
      <c r="C869" s="25"/>
      <c r="D869" s="26"/>
    </row>
    <row r="870" spans="1:4" ht="18" x14ac:dyDescent="0.35">
      <c r="A870" s="25"/>
      <c r="B870" s="25"/>
      <c r="C870" s="25"/>
      <c r="D870" s="26"/>
    </row>
    <row r="871" spans="1:4" ht="18" x14ac:dyDescent="0.35">
      <c r="A871" s="25"/>
      <c r="B871" s="25"/>
      <c r="C871" s="25"/>
      <c r="D871" s="26"/>
    </row>
    <row r="872" spans="1:4" ht="18" x14ac:dyDescent="0.35">
      <c r="A872" s="25"/>
      <c r="B872" s="25"/>
      <c r="C872" s="25"/>
      <c r="D872" s="26"/>
    </row>
    <row r="873" spans="1:4" ht="18" x14ac:dyDescent="0.35">
      <c r="A873" s="25"/>
      <c r="B873" s="25"/>
      <c r="C873" s="25"/>
      <c r="D873" s="26"/>
    </row>
    <row r="874" spans="1:4" ht="18" x14ac:dyDescent="0.35">
      <c r="A874" s="25"/>
      <c r="B874" s="25"/>
      <c r="C874" s="25"/>
      <c r="D874" s="26"/>
    </row>
    <row r="875" spans="1:4" ht="18" x14ac:dyDescent="0.35">
      <c r="A875" s="25"/>
      <c r="B875" s="25"/>
      <c r="C875" s="25"/>
      <c r="D875" s="26"/>
    </row>
    <row r="876" spans="1:4" ht="18" x14ac:dyDescent="0.35">
      <c r="A876" s="25"/>
      <c r="B876" s="25"/>
      <c r="C876" s="25"/>
      <c r="D876" s="26"/>
    </row>
    <row r="877" spans="1:4" ht="18" x14ac:dyDescent="0.35">
      <c r="A877" s="25"/>
      <c r="B877" s="25"/>
      <c r="C877" s="25"/>
      <c r="D877" s="26"/>
    </row>
    <row r="878" spans="1:4" ht="18" x14ac:dyDescent="0.35">
      <c r="A878" s="25"/>
      <c r="B878" s="25"/>
      <c r="C878" s="25"/>
      <c r="D878" s="26"/>
    </row>
    <row r="879" spans="1:4" ht="18" x14ac:dyDescent="0.35">
      <c r="A879" s="25"/>
      <c r="B879" s="25"/>
      <c r="C879" s="25"/>
      <c r="D879" s="26"/>
    </row>
    <row r="880" spans="1:4" ht="18" x14ac:dyDescent="0.35">
      <c r="A880" s="25"/>
      <c r="B880" s="25"/>
      <c r="C880" s="25"/>
      <c r="D880" s="26"/>
    </row>
    <row r="881" spans="1:4" ht="18" x14ac:dyDescent="0.35">
      <c r="A881" s="25"/>
      <c r="B881" s="25"/>
      <c r="C881" s="25"/>
      <c r="D881" s="26"/>
    </row>
    <row r="882" spans="1:4" ht="18" x14ac:dyDescent="0.35">
      <c r="A882" s="25"/>
      <c r="B882" s="25"/>
      <c r="C882" s="25"/>
      <c r="D882" s="26"/>
    </row>
    <row r="883" spans="1:4" ht="18" x14ac:dyDescent="0.35">
      <c r="A883" s="25"/>
      <c r="B883" s="25"/>
      <c r="C883" s="25"/>
      <c r="D883" s="26"/>
    </row>
    <row r="884" spans="1:4" ht="18" x14ac:dyDescent="0.35">
      <c r="A884" s="25"/>
      <c r="B884" s="25"/>
      <c r="C884" s="25"/>
      <c r="D884" s="26"/>
    </row>
    <row r="885" spans="1:4" ht="18" x14ac:dyDescent="0.35">
      <c r="A885" s="25"/>
      <c r="B885" s="25"/>
      <c r="C885" s="25"/>
      <c r="D885" s="26"/>
    </row>
    <row r="886" spans="1:4" ht="18" x14ac:dyDescent="0.35">
      <c r="A886" s="25"/>
      <c r="B886" s="25"/>
      <c r="C886" s="25"/>
      <c r="D886" s="26"/>
    </row>
    <row r="887" spans="1:4" ht="18" x14ac:dyDescent="0.35">
      <c r="A887" s="25"/>
      <c r="B887" s="25"/>
      <c r="C887" s="25"/>
      <c r="D887" s="26"/>
    </row>
    <row r="888" spans="1:4" ht="18" x14ac:dyDescent="0.35">
      <c r="A888" s="25"/>
      <c r="B888" s="25"/>
      <c r="C888" s="25"/>
      <c r="D888" s="26"/>
    </row>
    <row r="889" spans="1:4" ht="18" x14ac:dyDescent="0.35">
      <c r="A889" s="25"/>
      <c r="B889" s="25"/>
      <c r="C889" s="25"/>
      <c r="D889" s="26"/>
    </row>
    <row r="890" spans="1:4" ht="18" x14ac:dyDescent="0.35">
      <c r="A890" s="25"/>
      <c r="B890" s="25"/>
      <c r="C890" s="25"/>
      <c r="D890" s="26"/>
    </row>
    <row r="891" spans="1:4" ht="18" x14ac:dyDescent="0.35">
      <c r="A891" s="25"/>
      <c r="B891" s="25"/>
      <c r="C891" s="25"/>
      <c r="D891" s="26"/>
    </row>
    <row r="892" spans="1:4" ht="18" x14ac:dyDescent="0.35">
      <c r="A892" s="25"/>
      <c r="B892" s="25"/>
      <c r="C892" s="25"/>
      <c r="D892" s="26"/>
    </row>
    <row r="893" spans="1:4" ht="18" x14ac:dyDescent="0.35">
      <c r="A893" s="25"/>
      <c r="B893" s="25"/>
      <c r="C893" s="25"/>
      <c r="D893" s="26"/>
    </row>
    <row r="894" spans="1:4" ht="18" x14ac:dyDescent="0.35">
      <c r="A894" s="25"/>
      <c r="B894" s="25"/>
      <c r="C894" s="25"/>
      <c r="D894" s="26"/>
    </row>
    <row r="895" spans="1:4" ht="18" x14ac:dyDescent="0.35">
      <c r="A895" s="25"/>
      <c r="B895" s="25"/>
      <c r="C895" s="25"/>
      <c r="D895" s="26"/>
    </row>
    <row r="896" spans="1:4" ht="18" x14ac:dyDescent="0.35">
      <c r="A896" s="25"/>
      <c r="B896" s="25"/>
      <c r="C896" s="25"/>
      <c r="D896" s="26"/>
    </row>
    <row r="897" spans="1:4" ht="18" x14ac:dyDescent="0.35">
      <c r="A897" s="25"/>
      <c r="B897" s="25"/>
      <c r="C897" s="25"/>
      <c r="D897" s="26"/>
    </row>
    <row r="898" spans="1:4" ht="18" x14ac:dyDescent="0.35">
      <c r="A898" s="25"/>
      <c r="B898" s="25"/>
      <c r="C898" s="25"/>
      <c r="D898" s="26"/>
    </row>
    <row r="899" spans="1:4" ht="18" x14ac:dyDescent="0.35">
      <c r="A899" s="25"/>
      <c r="B899" s="25"/>
      <c r="C899" s="25"/>
      <c r="D899" s="26"/>
    </row>
    <row r="900" spans="1:4" ht="18" x14ac:dyDescent="0.35">
      <c r="A900" s="25"/>
      <c r="B900" s="25"/>
      <c r="C900" s="25"/>
      <c r="D900" s="26"/>
    </row>
    <row r="901" spans="1:4" ht="18" x14ac:dyDescent="0.35">
      <c r="A901" s="25"/>
      <c r="B901" s="25"/>
      <c r="C901" s="25"/>
      <c r="D901" s="26"/>
    </row>
    <row r="902" spans="1:4" ht="18" x14ac:dyDescent="0.35">
      <c r="A902" s="25"/>
      <c r="B902" s="25"/>
      <c r="C902" s="25"/>
      <c r="D902" s="26"/>
    </row>
    <row r="903" spans="1:4" ht="18" x14ac:dyDescent="0.35">
      <c r="A903" s="25"/>
      <c r="B903" s="25"/>
      <c r="C903" s="25"/>
      <c r="D903" s="26"/>
    </row>
    <row r="904" spans="1:4" ht="18" x14ac:dyDescent="0.35">
      <c r="A904" s="25"/>
      <c r="B904" s="25"/>
      <c r="C904" s="25"/>
      <c r="D904" s="26"/>
    </row>
    <row r="905" spans="1:4" ht="18" x14ac:dyDescent="0.35">
      <c r="A905" s="25"/>
      <c r="B905" s="25"/>
      <c r="C905" s="25"/>
      <c r="D905" s="26"/>
    </row>
    <row r="906" spans="1:4" ht="18" x14ac:dyDescent="0.35">
      <c r="A906" s="25"/>
      <c r="B906" s="25"/>
      <c r="C906" s="25"/>
      <c r="D906" s="26"/>
    </row>
    <row r="907" spans="1:4" ht="18" x14ac:dyDescent="0.35">
      <c r="A907" s="25"/>
      <c r="B907" s="25"/>
      <c r="C907" s="25"/>
      <c r="D907" s="26"/>
    </row>
    <row r="908" spans="1:4" ht="18" x14ac:dyDescent="0.35">
      <c r="A908" s="25"/>
      <c r="B908" s="25"/>
      <c r="C908" s="25"/>
      <c r="D908" s="26"/>
    </row>
    <row r="909" spans="1:4" ht="18" x14ac:dyDescent="0.35">
      <c r="A909" s="25"/>
      <c r="B909" s="25"/>
      <c r="C909" s="25"/>
      <c r="D909" s="26"/>
    </row>
    <row r="910" spans="1:4" ht="18" x14ac:dyDescent="0.35">
      <c r="A910" s="25"/>
      <c r="B910" s="25"/>
      <c r="C910" s="25"/>
      <c r="D910" s="26"/>
    </row>
    <row r="911" spans="1:4" ht="18" x14ac:dyDescent="0.35">
      <c r="A911" s="25"/>
      <c r="B911" s="25"/>
      <c r="C911" s="25"/>
      <c r="D911" s="26"/>
    </row>
    <row r="912" spans="1:4" ht="18" x14ac:dyDescent="0.35">
      <c r="A912" s="25"/>
      <c r="B912" s="25"/>
      <c r="C912" s="25"/>
      <c r="D912" s="26"/>
    </row>
    <row r="913" spans="1:4" ht="18" x14ac:dyDescent="0.35">
      <c r="A913" s="25"/>
      <c r="B913" s="25"/>
      <c r="C913" s="25"/>
      <c r="D913" s="26"/>
    </row>
    <row r="914" spans="1:4" ht="18" x14ac:dyDescent="0.35">
      <c r="A914" s="25"/>
      <c r="B914" s="25"/>
      <c r="C914" s="25"/>
      <c r="D914" s="26"/>
    </row>
    <row r="915" spans="1:4" ht="18" x14ac:dyDescent="0.35">
      <c r="A915" s="25"/>
      <c r="B915" s="25"/>
      <c r="C915" s="25"/>
      <c r="D915" s="26"/>
    </row>
    <row r="916" spans="1:4" ht="18" x14ac:dyDescent="0.35">
      <c r="A916" s="25"/>
      <c r="B916" s="25"/>
      <c r="C916" s="25"/>
      <c r="D916" s="26"/>
    </row>
    <row r="917" spans="1:4" ht="18" x14ac:dyDescent="0.35">
      <c r="A917" s="25"/>
      <c r="B917" s="25"/>
      <c r="C917" s="25"/>
      <c r="D917" s="26"/>
    </row>
    <row r="918" spans="1:4" ht="18" x14ac:dyDescent="0.35">
      <c r="A918" s="25"/>
      <c r="B918" s="25"/>
      <c r="C918" s="25"/>
      <c r="D918" s="26"/>
    </row>
    <row r="919" spans="1:4" ht="18" x14ac:dyDescent="0.35">
      <c r="A919" s="25"/>
      <c r="B919" s="25"/>
      <c r="C919" s="25"/>
      <c r="D919" s="26"/>
    </row>
    <row r="920" spans="1:4" ht="18" x14ac:dyDescent="0.35">
      <c r="A920" s="25"/>
      <c r="B920" s="25"/>
      <c r="C920" s="25"/>
      <c r="D920" s="26"/>
    </row>
    <row r="921" spans="1:4" ht="18" x14ac:dyDescent="0.35">
      <c r="A921" s="25"/>
      <c r="B921" s="25"/>
      <c r="C921" s="25"/>
      <c r="D921" s="26"/>
    </row>
    <row r="922" spans="1:4" ht="18" x14ac:dyDescent="0.35">
      <c r="A922" s="25"/>
      <c r="B922" s="25"/>
      <c r="C922" s="25"/>
      <c r="D922" s="26"/>
    </row>
    <row r="923" spans="1:4" ht="18" x14ac:dyDescent="0.35">
      <c r="A923" s="25"/>
      <c r="B923" s="25"/>
      <c r="C923" s="25"/>
      <c r="D923" s="26"/>
    </row>
    <row r="924" spans="1:4" ht="18" x14ac:dyDescent="0.35">
      <c r="A924" s="25"/>
      <c r="B924" s="25"/>
      <c r="C924" s="25"/>
      <c r="D924" s="26"/>
    </row>
    <row r="925" spans="1:4" ht="18" x14ac:dyDescent="0.35">
      <c r="A925" s="25"/>
      <c r="B925" s="25"/>
      <c r="C925" s="25"/>
      <c r="D925" s="26"/>
    </row>
    <row r="926" spans="1:4" ht="18" x14ac:dyDescent="0.35">
      <c r="A926" s="25"/>
      <c r="B926" s="25"/>
      <c r="C926" s="25"/>
      <c r="D926" s="26"/>
    </row>
    <row r="927" spans="1:4" ht="18" x14ac:dyDescent="0.35">
      <c r="A927" s="25"/>
      <c r="B927" s="25"/>
      <c r="C927" s="25"/>
      <c r="D927" s="26"/>
    </row>
    <row r="928" spans="1:4" ht="18" x14ac:dyDescent="0.35">
      <c r="A928" s="25"/>
      <c r="B928" s="25"/>
      <c r="C928" s="25"/>
      <c r="D928" s="26"/>
    </row>
    <row r="929" spans="1:4" ht="18" x14ac:dyDescent="0.35">
      <c r="A929" s="25"/>
      <c r="B929" s="25"/>
      <c r="C929" s="25"/>
      <c r="D929" s="26"/>
    </row>
    <row r="930" spans="1:4" ht="18" x14ac:dyDescent="0.35">
      <c r="A930" s="25"/>
      <c r="B930" s="25"/>
      <c r="C930" s="25"/>
      <c r="D930" s="26"/>
    </row>
    <row r="931" spans="1:4" ht="18" x14ac:dyDescent="0.35">
      <c r="A931" s="25"/>
      <c r="B931" s="25"/>
      <c r="C931" s="25"/>
      <c r="D931" s="26"/>
    </row>
    <row r="932" spans="1:4" ht="18" x14ac:dyDescent="0.35">
      <c r="A932" s="25"/>
      <c r="B932" s="25"/>
      <c r="C932" s="25"/>
      <c r="D932" s="26"/>
    </row>
    <row r="933" spans="1:4" ht="18" x14ac:dyDescent="0.35">
      <c r="A933" s="25"/>
      <c r="B933" s="25"/>
      <c r="C933" s="25"/>
      <c r="D933" s="26"/>
    </row>
    <row r="934" spans="1:4" ht="18" x14ac:dyDescent="0.35">
      <c r="A934" s="25"/>
      <c r="B934" s="25"/>
      <c r="C934" s="25"/>
      <c r="D934" s="26"/>
    </row>
    <row r="935" spans="1:4" ht="18" x14ac:dyDescent="0.35">
      <c r="A935" s="25"/>
      <c r="B935" s="25"/>
      <c r="C935" s="25"/>
      <c r="D935" s="26"/>
    </row>
    <row r="936" spans="1:4" ht="18" x14ac:dyDescent="0.35">
      <c r="A936" s="25"/>
      <c r="B936" s="25"/>
      <c r="C936" s="25"/>
      <c r="D936" s="26"/>
    </row>
    <row r="937" spans="1:4" ht="18" x14ac:dyDescent="0.35">
      <c r="A937" s="25"/>
      <c r="B937" s="25"/>
      <c r="C937" s="25"/>
      <c r="D937" s="26"/>
    </row>
    <row r="938" spans="1:4" ht="18" x14ac:dyDescent="0.35">
      <c r="A938" s="25"/>
      <c r="B938" s="25"/>
      <c r="C938" s="25"/>
      <c r="D938" s="26"/>
    </row>
    <row r="939" spans="1:4" ht="18" x14ac:dyDescent="0.35">
      <c r="A939" s="25"/>
      <c r="B939" s="25"/>
      <c r="C939" s="25"/>
      <c r="D939" s="26"/>
    </row>
    <row r="940" spans="1:4" ht="18" x14ac:dyDescent="0.35">
      <c r="A940" s="25"/>
      <c r="B940" s="25"/>
      <c r="C940" s="25"/>
      <c r="D940" s="26"/>
    </row>
    <row r="941" spans="1:4" ht="18" x14ac:dyDescent="0.35">
      <c r="A941" s="25"/>
      <c r="B941" s="25"/>
      <c r="C941" s="25"/>
      <c r="D941" s="26"/>
    </row>
    <row r="942" spans="1:4" ht="18" x14ac:dyDescent="0.35">
      <c r="A942" s="25"/>
      <c r="B942" s="25"/>
      <c r="C942" s="25"/>
      <c r="D942" s="26"/>
    </row>
    <row r="943" spans="1:4" ht="18" x14ac:dyDescent="0.35">
      <c r="A943" s="25"/>
      <c r="B943" s="25"/>
      <c r="C943" s="25"/>
      <c r="D943" s="26"/>
    </row>
    <row r="944" spans="1:4" ht="18" x14ac:dyDescent="0.35">
      <c r="A944" s="25"/>
      <c r="B944" s="25"/>
      <c r="C944" s="25"/>
      <c r="D944" s="26"/>
    </row>
    <row r="945" spans="1:4" ht="18" x14ac:dyDescent="0.35">
      <c r="A945" s="25"/>
      <c r="B945" s="25"/>
      <c r="C945" s="25"/>
      <c r="D945" s="26"/>
    </row>
    <row r="946" spans="1:4" ht="18" x14ac:dyDescent="0.35">
      <c r="A946" s="25"/>
      <c r="B946" s="25"/>
      <c r="C946" s="25"/>
      <c r="D946" s="26"/>
    </row>
    <row r="947" spans="1:4" ht="18" x14ac:dyDescent="0.35">
      <c r="A947" s="25"/>
      <c r="B947" s="25"/>
      <c r="C947" s="25"/>
      <c r="D947" s="26"/>
    </row>
    <row r="948" spans="1:4" ht="18" x14ac:dyDescent="0.35">
      <c r="A948" s="25"/>
      <c r="B948" s="25"/>
      <c r="C948" s="25"/>
      <c r="D948" s="26"/>
    </row>
    <row r="949" spans="1:4" ht="18" x14ac:dyDescent="0.35">
      <c r="A949" s="25"/>
      <c r="B949" s="25"/>
      <c r="C949" s="25"/>
      <c r="D949" s="26"/>
    </row>
    <row r="950" spans="1:4" ht="18" x14ac:dyDescent="0.35">
      <c r="A950" s="25"/>
      <c r="B950" s="25"/>
      <c r="C950" s="25"/>
      <c r="D950" s="26"/>
    </row>
    <row r="951" spans="1:4" ht="18" x14ac:dyDescent="0.35">
      <c r="A951" s="25"/>
      <c r="B951" s="25"/>
      <c r="C951" s="25"/>
      <c r="D951" s="26"/>
    </row>
    <row r="952" spans="1:4" ht="18" x14ac:dyDescent="0.35">
      <c r="A952" s="25"/>
      <c r="B952" s="25"/>
      <c r="C952" s="25"/>
      <c r="D952" s="26"/>
    </row>
    <row r="953" spans="1:4" ht="18" x14ac:dyDescent="0.35">
      <c r="A953" s="25"/>
      <c r="B953" s="25"/>
      <c r="C953" s="25"/>
      <c r="D953" s="26"/>
    </row>
    <row r="954" spans="1:4" ht="18" x14ac:dyDescent="0.35">
      <c r="A954" s="25"/>
      <c r="B954" s="25"/>
      <c r="C954" s="25"/>
      <c r="D954" s="26"/>
    </row>
    <row r="955" spans="1:4" ht="18" x14ac:dyDescent="0.35">
      <c r="A955" s="25"/>
      <c r="B955" s="25"/>
      <c r="C955" s="25"/>
      <c r="D955" s="26"/>
    </row>
    <row r="956" spans="1:4" ht="18" x14ac:dyDescent="0.35">
      <c r="A956" s="25"/>
      <c r="B956" s="25"/>
      <c r="C956" s="25"/>
      <c r="D956" s="26"/>
    </row>
    <row r="957" spans="1:4" ht="18" x14ac:dyDescent="0.35">
      <c r="A957" s="25"/>
      <c r="B957" s="25"/>
      <c r="C957" s="25"/>
      <c r="D957" s="26"/>
    </row>
    <row r="958" spans="1:4" ht="18" x14ac:dyDescent="0.35">
      <c r="A958" s="25"/>
      <c r="B958" s="25"/>
      <c r="C958" s="25"/>
      <c r="D958" s="26"/>
    </row>
    <row r="959" spans="1:4" ht="18" x14ac:dyDescent="0.35">
      <c r="A959" s="25"/>
      <c r="B959" s="25"/>
      <c r="C959" s="25"/>
      <c r="D959" s="26"/>
    </row>
    <row r="960" spans="1:4" ht="18" x14ac:dyDescent="0.35">
      <c r="A960" s="25"/>
      <c r="B960" s="25"/>
      <c r="C960" s="25"/>
      <c r="D960" s="26"/>
    </row>
    <row r="961" spans="1:4" ht="18" x14ac:dyDescent="0.35">
      <c r="A961" s="25"/>
      <c r="B961" s="25"/>
      <c r="C961" s="25"/>
      <c r="D961" s="26"/>
    </row>
    <row r="962" spans="1:4" ht="18" x14ac:dyDescent="0.35">
      <c r="A962" s="25"/>
      <c r="B962" s="25"/>
      <c r="C962" s="25"/>
      <c r="D962" s="26"/>
    </row>
    <row r="963" spans="1:4" ht="18" x14ac:dyDescent="0.35">
      <c r="A963" s="25"/>
      <c r="B963" s="25"/>
      <c r="C963" s="25"/>
      <c r="D963" s="26"/>
    </row>
    <row r="964" spans="1:4" ht="18" x14ac:dyDescent="0.35">
      <c r="A964" s="25"/>
      <c r="B964" s="25"/>
      <c r="C964" s="25"/>
      <c r="D964" s="26"/>
    </row>
    <row r="965" spans="1:4" ht="18" x14ac:dyDescent="0.35">
      <c r="A965" s="25"/>
      <c r="B965" s="25"/>
      <c r="C965" s="25"/>
      <c r="D965" s="26"/>
    </row>
    <row r="966" spans="1:4" ht="18" x14ac:dyDescent="0.35">
      <c r="A966" s="25"/>
      <c r="B966" s="25"/>
      <c r="C966" s="25"/>
      <c r="D966" s="26"/>
    </row>
    <row r="967" spans="1:4" ht="18" x14ac:dyDescent="0.35">
      <c r="A967" s="25"/>
      <c r="B967" s="25"/>
      <c r="C967" s="25"/>
      <c r="D967" s="26"/>
    </row>
    <row r="968" spans="1:4" ht="18" x14ac:dyDescent="0.35">
      <c r="A968" s="25"/>
      <c r="B968" s="25"/>
      <c r="C968" s="25"/>
      <c r="D968" s="26"/>
    </row>
    <row r="969" spans="1:4" ht="18" x14ac:dyDescent="0.35">
      <c r="A969" s="25"/>
      <c r="B969" s="25"/>
      <c r="C969" s="25"/>
      <c r="D969" s="26"/>
    </row>
    <row r="970" spans="1:4" ht="18" x14ac:dyDescent="0.35">
      <c r="A970" s="25"/>
      <c r="B970" s="25"/>
      <c r="C970" s="25"/>
      <c r="D970" s="26"/>
    </row>
    <row r="971" spans="1:4" ht="18" x14ac:dyDescent="0.35">
      <c r="A971" s="25"/>
      <c r="B971" s="25"/>
      <c r="C971" s="25"/>
      <c r="D971" s="26"/>
    </row>
    <row r="972" spans="1:4" ht="18" x14ac:dyDescent="0.35">
      <c r="A972" s="25"/>
      <c r="B972" s="25"/>
      <c r="C972" s="25"/>
      <c r="D972" s="26"/>
    </row>
    <row r="973" spans="1:4" ht="18" x14ac:dyDescent="0.35">
      <c r="A973" s="25"/>
      <c r="B973" s="25"/>
      <c r="C973" s="25"/>
      <c r="D973" s="26"/>
    </row>
    <row r="974" spans="1:4" ht="18" x14ac:dyDescent="0.35">
      <c r="A974" s="25"/>
      <c r="B974" s="25"/>
      <c r="C974" s="25"/>
      <c r="D974" s="26"/>
    </row>
    <row r="975" spans="1:4" ht="18" x14ac:dyDescent="0.35">
      <c r="A975" s="25"/>
      <c r="B975" s="25"/>
      <c r="C975" s="25"/>
      <c r="D975" s="26"/>
    </row>
    <row r="976" spans="1:4" ht="18" x14ac:dyDescent="0.35">
      <c r="A976" s="25"/>
      <c r="B976" s="25"/>
      <c r="C976" s="25"/>
      <c r="D976" s="26"/>
    </row>
    <row r="977" spans="1:4" ht="18" x14ac:dyDescent="0.35">
      <c r="A977" s="25"/>
      <c r="B977" s="25"/>
      <c r="C977" s="25"/>
      <c r="D977" s="26"/>
    </row>
    <row r="978" spans="1:4" ht="18" x14ac:dyDescent="0.35">
      <c r="A978" s="25"/>
      <c r="B978" s="25"/>
      <c r="C978" s="25"/>
      <c r="D978" s="26"/>
    </row>
    <row r="979" spans="1:4" ht="18" x14ac:dyDescent="0.35">
      <c r="A979" s="25"/>
      <c r="B979" s="25"/>
      <c r="C979" s="25"/>
      <c r="D979" s="26"/>
    </row>
    <row r="980" spans="1:4" ht="18" x14ac:dyDescent="0.35">
      <c r="A980" s="25"/>
      <c r="B980" s="25"/>
      <c r="C980" s="25"/>
      <c r="D980" s="26"/>
    </row>
    <row r="981" spans="1:4" ht="18" x14ac:dyDescent="0.35">
      <c r="A981" s="25"/>
      <c r="B981" s="25"/>
      <c r="C981" s="25"/>
      <c r="D981" s="26"/>
    </row>
    <row r="982" spans="1:4" ht="18" x14ac:dyDescent="0.35">
      <c r="A982" s="25"/>
      <c r="B982" s="25"/>
      <c r="C982" s="25"/>
      <c r="D982" s="26"/>
    </row>
    <row r="983" spans="1:4" ht="18" x14ac:dyDescent="0.35">
      <c r="A983" s="25"/>
      <c r="B983" s="25"/>
      <c r="C983" s="25"/>
      <c r="D983" s="26"/>
    </row>
    <row r="984" spans="1:4" ht="18" x14ac:dyDescent="0.35">
      <c r="A984" s="25"/>
      <c r="B984" s="25"/>
      <c r="C984" s="25"/>
      <c r="D984" s="26"/>
    </row>
    <row r="985" spans="1:4" ht="18" x14ac:dyDescent="0.35">
      <c r="A985" s="25"/>
      <c r="B985" s="25"/>
      <c r="C985" s="25"/>
      <c r="D985" s="26"/>
    </row>
    <row r="986" spans="1:4" ht="18" x14ac:dyDescent="0.35">
      <c r="A986" s="25"/>
      <c r="B986" s="25"/>
      <c r="C986" s="25"/>
      <c r="D986" s="26"/>
    </row>
    <row r="987" spans="1:4" ht="18" x14ac:dyDescent="0.35">
      <c r="A987" s="25"/>
      <c r="B987" s="25"/>
      <c r="C987" s="25"/>
      <c r="D987" s="26"/>
    </row>
    <row r="988" spans="1:4" ht="18" x14ac:dyDescent="0.35">
      <c r="A988" s="25"/>
      <c r="B988" s="25"/>
      <c r="C988" s="25"/>
      <c r="D988" s="26"/>
    </row>
    <row r="989" spans="1:4" ht="18" x14ac:dyDescent="0.35">
      <c r="A989" s="25"/>
      <c r="B989" s="25"/>
      <c r="C989" s="25"/>
      <c r="D989" s="26"/>
    </row>
    <row r="990" spans="1:4" ht="18" x14ac:dyDescent="0.35">
      <c r="A990" s="25"/>
      <c r="B990" s="25"/>
      <c r="C990" s="25"/>
      <c r="D990" s="26"/>
    </row>
    <row r="991" spans="1:4" ht="18" x14ac:dyDescent="0.35">
      <c r="A991" s="25"/>
      <c r="B991" s="25"/>
      <c r="C991" s="25"/>
      <c r="D991" s="26"/>
    </row>
    <row r="992" spans="1:4" ht="18" x14ac:dyDescent="0.35">
      <c r="A992" s="25"/>
      <c r="B992" s="25"/>
      <c r="C992" s="25"/>
      <c r="D992" s="26"/>
    </row>
    <row r="993" spans="1:4" ht="18" x14ac:dyDescent="0.35">
      <c r="A993" s="25"/>
      <c r="B993" s="25"/>
      <c r="C993" s="25"/>
      <c r="D993" s="26"/>
    </row>
    <row r="994" spans="1:4" ht="18" x14ac:dyDescent="0.35">
      <c r="A994" s="25"/>
      <c r="B994" s="25"/>
      <c r="C994" s="25"/>
      <c r="D994" s="26"/>
    </row>
    <row r="995" spans="1:4" ht="18" x14ac:dyDescent="0.35">
      <c r="A995" s="25"/>
      <c r="B995" s="25"/>
      <c r="C995" s="25"/>
      <c r="D995" s="26"/>
    </row>
    <row r="996" spans="1:4" ht="18" x14ac:dyDescent="0.35">
      <c r="A996" s="25"/>
      <c r="B996" s="25"/>
      <c r="C996" s="25"/>
      <c r="D996" s="26"/>
    </row>
    <row r="997" spans="1:4" ht="18" x14ac:dyDescent="0.35">
      <c r="A997" s="25"/>
      <c r="B997" s="25"/>
      <c r="C997" s="25"/>
      <c r="D997" s="26"/>
    </row>
    <row r="998" spans="1:4" ht="18" x14ac:dyDescent="0.35">
      <c r="A998" s="25"/>
      <c r="B998" s="25"/>
      <c r="C998" s="25"/>
      <c r="D998" s="26"/>
    </row>
    <row r="999" spans="1:4" ht="18" x14ac:dyDescent="0.35">
      <c r="A999" s="25"/>
      <c r="B999" s="25"/>
      <c r="C999" s="25"/>
      <c r="D999" s="26"/>
    </row>
    <row r="1000" spans="1:4" ht="18" x14ac:dyDescent="0.35">
      <c r="A1000" s="25"/>
      <c r="B1000" s="25"/>
      <c r="C1000" s="25"/>
      <c r="D1000" s="26"/>
    </row>
    <row r="1001" spans="1:4" ht="18" x14ac:dyDescent="0.35">
      <c r="A1001" s="25"/>
      <c r="B1001" s="25"/>
      <c r="C1001" s="25"/>
      <c r="D1001" s="26"/>
    </row>
    <row r="1002" spans="1:4" ht="18" x14ac:dyDescent="0.35">
      <c r="A1002" s="25"/>
      <c r="B1002" s="25"/>
      <c r="C1002" s="25"/>
      <c r="D1002" s="26"/>
    </row>
    <row r="1003" spans="1:4" ht="18" x14ac:dyDescent="0.35">
      <c r="A1003" s="25"/>
      <c r="B1003" s="25"/>
      <c r="C1003" s="25"/>
      <c r="D1003" s="26"/>
    </row>
    <row r="1004" spans="1:4" ht="18" x14ac:dyDescent="0.35">
      <c r="A1004" s="25"/>
      <c r="B1004" s="25"/>
      <c r="C1004" s="25"/>
      <c r="D1004" s="26"/>
    </row>
    <row r="1005" spans="1:4" ht="18" x14ac:dyDescent="0.35">
      <c r="A1005" s="25"/>
      <c r="B1005" s="25"/>
      <c r="C1005" s="25"/>
      <c r="D1005" s="26"/>
    </row>
    <row r="1006" spans="1:4" ht="18" x14ac:dyDescent="0.35">
      <c r="A1006" s="25"/>
      <c r="B1006" s="25"/>
      <c r="C1006" s="25"/>
      <c r="D1006" s="26"/>
    </row>
    <row r="1007" spans="1:4" ht="18" x14ac:dyDescent="0.35">
      <c r="A1007" s="25"/>
      <c r="B1007" s="25"/>
      <c r="C1007" s="25"/>
      <c r="D1007" s="26"/>
    </row>
    <row r="1008" spans="1:4" ht="18" x14ac:dyDescent="0.35">
      <c r="A1008" s="25"/>
      <c r="B1008" s="25"/>
      <c r="C1008" s="25"/>
      <c r="D1008" s="26"/>
    </row>
    <row r="1009" spans="1:4" ht="18" x14ac:dyDescent="0.35">
      <c r="A1009" s="25"/>
      <c r="B1009" s="25"/>
      <c r="C1009" s="25"/>
      <c r="D1009" s="26"/>
    </row>
    <row r="1010" spans="1:4" ht="18" x14ac:dyDescent="0.35">
      <c r="A1010" s="25"/>
      <c r="B1010" s="25"/>
      <c r="C1010" s="25"/>
      <c r="D1010" s="26"/>
    </row>
    <row r="1011" spans="1:4" ht="18" x14ac:dyDescent="0.35">
      <c r="A1011" s="25"/>
      <c r="B1011" s="25"/>
      <c r="C1011" s="25"/>
      <c r="D1011" s="26"/>
    </row>
    <row r="1012" spans="1:4" ht="18" x14ac:dyDescent="0.35">
      <c r="A1012" s="25"/>
      <c r="B1012" s="25"/>
      <c r="C1012" s="25"/>
      <c r="D1012" s="26"/>
    </row>
    <row r="1013" spans="1:4" ht="18" x14ac:dyDescent="0.35">
      <c r="A1013" s="25"/>
      <c r="B1013" s="25"/>
      <c r="C1013" s="25"/>
      <c r="D1013" s="26"/>
    </row>
    <row r="1014" spans="1:4" ht="18" x14ac:dyDescent="0.35">
      <c r="A1014" s="25"/>
      <c r="B1014" s="25"/>
      <c r="C1014" s="25"/>
      <c r="D1014" s="26"/>
    </row>
    <row r="1015" spans="1:4" ht="18" x14ac:dyDescent="0.35">
      <c r="A1015" s="25"/>
      <c r="B1015" s="25"/>
      <c r="C1015" s="25"/>
      <c r="D1015" s="26"/>
    </row>
    <row r="1016" spans="1:4" ht="18" x14ac:dyDescent="0.35">
      <c r="A1016" s="25"/>
      <c r="B1016" s="25"/>
      <c r="C1016" s="25"/>
      <c r="D1016" s="26"/>
    </row>
    <row r="1017" spans="1:4" ht="18" x14ac:dyDescent="0.35">
      <c r="A1017" s="25"/>
      <c r="B1017" s="25"/>
      <c r="C1017" s="25"/>
      <c r="D1017" s="26"/>
    </row>
    <row r="1018" spans="1:4" ht="18" x14ac:dyDescent="0.35">
      <c r="A1018" s="25"/>
      <c r="B1018" s="25"/>
      <c r="C1018" s="25"/>
      <c r="D1018" s="26"/>
    </row>
    <row r="1019" spans="1:4" ht="18" x14ac:dyDescent="0.35">
      <c r="A1019" s="25"/>
      <c r="B1019" s="25"/>
      <c r="C1019" s="25"/>
      <c r="D1019" s="26"/>
    </row>
    <row r="1020" spans="1:4" ht="18" x14ac:dyDescent="0.35">
      <c r="A1020" s="25"/>
      <c r="B1020" s="25"/>
      <c r="C1020" s="25"/>
      <c r="D1020" s="26"/>
    </row>
    <row r="1021" spans="1:4" ht="18" x14ac:dyDescent="0.35">
      <c r="A1021" s="25"/>
      <c r="B1021" s="25"/>
      <c r="C1021" s="25"/>
      <c r="D1021" s="26"/>
    </row>
    <row r="1022" spans="1:4" ht="18" x14ac:dyDescent="0.35">
      <c r="A1022" s="25"/>
      <c r="B1022" s="25"/>
      <c r="C1022" s="25"/>
      <c r="D1022" s="26"/>
    </row>
    <row r="1023" spans="1:4" ht="18" x14ac:dyDescent="0.35">
      <c r="A1023" s="25"/>
      <c r="B1023" s="25"/>
      <c r="C1023" s="25"/>
      <c r="D1023" s="26"/>
    </row>
    <row r="1024" spans="1:4" ht="18" x14ac:dyDescent="0.35">
      <c r="A1024" s="25"/>
      <c r="B1024" s="25"/>
      <c r="C1024" s="25"/>
      <c r="D1024" s="26"/>
    </row>
    <row r="1025" spans="1:4" ht="18" x14ac:dyDescent="0.35">
      <c r="A1025" s="25"/>
      <c r="B1025" s="25"/>
      <c r="C1025" s="25"/>
      <c r="D1025" s="26"/>
    </row>
    <row r="1026" spans="1:4" ht="18" x14ac:dyDescent="0.35">
      <c r="A1026" s="25"/>
      <c r="B1026" s="25"/>
      <c r="C1026" s="25"/>
      <c r="D1026" s="26"/>
    </row>
    <row r="1027" spans="1:4" ht="18" x14ac:dyDescent="0.35">
      <c r="A1027" s="25"/>
      <c r="B1027" s="25"/>
      <c r="C1027" s="25"/>
      <c r="D1027" s="26"/>
    </row>
    <row r="1028" spans="1:4" ht="18" x14ac:dyDescent="0.35">
      <c r="A1028" s="25"/>
      <c r="B1028" s="25"/>
      <c r="C1028" s="25"/>
      <c r="D1028" s="26"/>
    </row>
    <row r="1029" spans="1:4" ht="18" x14ac:dyDescent="0.35">
      <c r="A1029" s="25"/>
      <c r="B1029" s="25"/>
      <c r="C1029" s="25"/>
      <c r="D1029" s="26"/>
    </row>
    <row r="1030" spans="1:4" ht="18" x14ac:dyDescent="0.35">
      <c r="A1030" s="25"/>
      <c r="B1030" s="25"/>
      <c r="C1030" s="25"/>
      <c r="D1030" s="26"/>
    </row>
    <row r="1031" spans="1:4" ht="18" x14ac:dyDescent="0.35">
      <c r="A1031" s="25"/>
      <c r="B1031" s="25"/>
      <c r="C1031" s="25"/>
      <c r="D1031" s="26"/>
    </row>
    <row r="1032" spans="1:4" ht="18" x14ac:dyDescent="0.35">
      <c r="A1032" s="25"/>
      <c r="B1032" s="25"/>
      <c r="C1032" s="25"/>
      <c r="D1032" s="26"/>
    </row>
    <row r="1033" spans="1:4" ht="18" x14ac:dyDescent="0.35">
      <c r="A1033" s="25"/>
      <c r="B1033" s="25"/>
      <c r="C1033" s="25"/>
      <c r="D1033" s="26"/>
    </row>
    <row r="1034" spans="1:4" ht="18" x14ac:dyDescent="0.35">
      <c r="A1034" s="25"/>
      <c r="B1034" s="25"/>
      <c r="C1034" s="25"/>
      <c r="D1034" s="26"/>
    </row>
    <row r="1035" spans="1:4" ht="18" x14ac:dyDescent="0.35">
      <c r="A1035" s="25"/>
      <c r="B1035" s="25"/>
      <c r="C1035" s="25"/>
      <c r="D1035" s="26"/>
    </row>
    <row r="1036" spans="1:4" ht="18" x14ac:dyDescent="0.35">
      <c r="A1036" s="25"/>
      <c r="B1036" s="25"/>
      <c r="C1036" s="25"/>
      <c r="D1036" s="26"/>
    </row>
    <row r="1037" spans="1:4" ht="18" x14ac:dyDescent="0.35">
      <c r="A1037" s="25"/>
      <c r="B1037" s="25"/>
      <c r="C1037" s="25"/>
      <c r="D1037" s="26"/>
    </row>
    <row r="1038" spans="1:4" ht="18" x14ac:dyDescent="0.35">
      <c r="A1038" s="25"/>
      <c r="B1038" s="25"/>
      <c r="C1038" s="25"/>
      <c r="D1038" s="26"/>
    </row>
    <row r="1039" spans="1:4" ht="18" x14ac:dyDescent="0.35">
      <c r="A1039" s="25"/>
      <c r="B1039" s="25"/>
      <c r="C1039" s="25"/>
      <c r="D1039" s="26"/>
    </row>
    <row r="1040" spans="1:4" ht="18" x14ac:dyDescent="0.35">
      <c r="A1040" s="25"/>
      <c r="B1040" s="25"/>
      <c r="C1040" s="25"/>
      <c r="D1040" s="26"/>
    </row>
    <row r="1041" spans="1:4" ht="18" x14ac:dyDescent="0.35">
      <c r="A1041" s="25"/>
      <c r="B1041" s="25"/>
      <c r="C1041" s="25"/>
      <c r="D1041" s="26"/>
    </row>
    <row r="1042" spans="1:4" ht="18" x14ac:dyDescent="0.35">
      <c r="A1042" s="25"/>
      <c r="B1042" s="25"/>
      <c r="C1042" s="25"/>
      <c r="D1042" s="26"/>
    </row>
    <row r="1043" spans="1:4" ht="18" x14ac:dyDescent="0.35">
      <c r="A1043" s="25"/>
      <c r="B1043" s="25"/>
      <c r="C1043" s="25"/>
      <c r="D1043" s="26"/>
    </row>
    <row r="1044" spans="1:4" ht="18" x14ac:dyDescent="0.35">
      <c r="A1044" s="25"/>
      <c r="B1044" s="25"/>
      <c r="C1044" s="25"/>
      <c r="D1044" s="26"/>
    </row>
    <row r="1045" spans="1:4" ht="18" x14ac:dyDescent="0.35">
      <c r="A1045" s="25"/>
      <c r="B1045" s="25"/>
      <c r="C1045" s="25"/>
      <c r="D1045" s="26"/>
    </row>
    <row r="1046" spans="1:4" ht="18" x14ac:dyDescent="0.35">
      <c r="A1046" s="25"/>
      <c r="B1046" s="25"/>
      <c r="C1046" s="25"/>
      <c r="D1046" s="26"/>
    </row>
    <row r="1047" spans="1:4" ht="18" x14ac:dyDescent="0.35">
      <c r="A1047" s="25"/>
      <c r="B1047" s="25"/>
      <c r="C1047" s="25"/>
      <c r="D1047" s="26"/>
    </row>
    <row r="1048" spans="1:4" ht="18" x14ac:dyDescent="0.35">
      <c r="A1048" s="25"/>
      <c r="B1048" s="25"/>
      <c r="C1048" s="25"/>
      <c r="D1048" s="26"/>
    </row>
    <row r="1049" spans="1:4" ht="18" x14ac:dyDescent="0.35">
      <c r="A1049" s="25"/>
      <c r="B1049" s="25"/>
      <c r="C1049" s="25"/>
      <c r="D1049" s="26"/>
    </row>
    <row r="1050" spans="1:4" ht="18" x14ac:dyDescent="0.35">
      <c r="A1050" s="25"/>
      <c r="B1050" s="25"/>
      <c r="C1050" s="25"/>
      <c r="D1050" s="26"/>
    </row>
    <row r="1051" spans="1:4" ht="18" x14ac:dyDescent="0.35">
      <c r="A1051" s="25"/>
      <c r="B1051" s="25"/>
      <c r="C1051" s="25"/>
      <c r="D1051" s="26"/>
    </row>
    <row r="1052" spans="1:4" ht="18" x14ac:dyDescent="0.35">
      <c r="A1052" s="25"/>
      <c r="B1052" s="25"/>
      <c r="C1052" s="25"/>
      <c r="D1052" s="26"/>
    </row>
    <row r="1053" spans="1:4" ht="18" x14ac:dyDescent="0.35">
      <c r="A1053" s="25"/>
      <c r="B1053" s="25"/>
      <c r="C1053" s="25"/>
      <c r="D1053" s="26"/>
    </row>
    <row r="1054" spans="1:4" ht="18" x14ac:dyDescent="0.35">
      <c r="A1054" s="25"/>
      <c r="B1054" s="25"/>
      <c r="C1054" s="25"/>
      <c r="D1054" s="26"/>
    </row>
    <row r="1055" spans="1:4" ht="18" x14ac:dyDescent="0.35">
      <c r="A1055" s="25"/>
      <c r="B1055" s="25"/>
      <c r="C1055" s="25"/>
      <c r="D1055" s="26"/>
    </row>
    <row r="1056" spans="1:4" ht="18" x14ac:dyDescent="0.35">
      <c r="A1056" s="25"/>
      <c r="B1056" s="25"/>
      <c r="C1056" s="25"/>
      <c r="D1056" s="26"/>
    </row>
    <row r="1057" spans="1:4" ht="18" x14ac:dyDescent="0.35">
      <c r="A1057" s="25"/>
      <c r="B1057" s="25"/>
      <c r="C1057" s="25"/>
      <c r="D1057" s="26"/>
    </row>
    <row r="1058" spans="1:4" ht="18" x14ac:dyDescent="0.35">
      <c r="A1058" s="25"/>
      <c r="B1058" s="25"/>
      <c r="C1058" s="25"/>
      <c r="D1058" s="26"/>
    </row>
    <row r="1059" spans="1:4" ht="18" x14ac:dyDescent="0.35">
      <c r="A1059" s="25"/>
      <c r="B1059" s="25"/>
      <c r="C1059" s="25"/>
      <c r="D1059" s="26"/>
    </row>
    <row r="1060" spans="1:4" ht="18" x14ac:dyDescent="0.35">
      <c r="A1060" s="25"/>
      <c r="B1060" s="25"/>
      <c r="C1060" s="25"/>
      <c r="D1060" s="26"/>
    </row>
    <row r="1061" spans="1:4" ht="18" x14ac:dyDescent="0.35">
      <c r="A1061" s="25"/>
      <c r="B1061" s="25"/>
      <c r="C1061" s="25"/>
      <c r="D1061" s="26"/>
    </row>
    <row r="1062" spans="1:4" ht="18" x14ac:dyDescent="0.35">
      <c r="A1062" s="25"/>
      <c r="B1062" s="25"/>
      <c r="C1062" s="25"/>
      <c r="D1062" s="26"/>
    </row>
    <row r="1063" spans="1:4" ht="18" x14ac:dyDescent="0.35">
      <c r="A1063" s="25"/>
      <c r="B1063" s="25"/>
      <c r="C1063" s="25"/>
      <c r="D1063" s="26"/>
    </row>
    <row r="1064" spans="1:4" ht="18" x14ac:dyDescent="0.35">
      <c r="A1064" s="25"/>
      <c r="B1064" s="25"/>
      <c r="C1064" s="25"/>
      <c r="D1064" s="26"/>
    </row>
    <row r="1065" spans="1:4" ht="18" x14ac:dyDescent="0.35">
      <c r="A1065" s="25"/>
      <c r="B1065" s="25"/>
      <c r="C1065" s="25"/>
      <c r="D1065" s="26"/>
    </row>
    <row r="1066" spans="1:4" ht="18" x14ac:dyDescent="0.35">
      <c r="A1066" s="25"/>
      <c r="B1066" s="25"/>
      <c r="C1066" s="25"/>
      <c r="D1066" s="26"/>
    </row>
    <row r="1067" spans="1:4" ht="18" x14ac:dyDescent="0.35">
      <c r="A1067" s="25"/>
      <c r="B1067" s="25"/>
      <c r="C1067" s="25"/>
      <c r="D1067" s="26"/>
    </row>
    <row r="1068" spans="1:4" ht="18" x14ac:dyDescent="0.35">
      <c r="A1068" s="25"/>
      <c r="B1068" s="25"/>
      <c r="C1068" s="25"/>
      <c r="D1068" s="26"/>
    </row>
    <row r="1069" spans="1:4" ht="18" x14ac:dyDescent="0.35">
      <c r="A1069" s="25"/>
      <c r="B1069" s="25"/>
      <c r="C1069" s="25"/>
      <c r="D1069" s="26"/>
    </row>
    <row r="1070" spans="1:4" ht="18" x14ac:dyDescent="0.35">
      <c r="A1070" s="25"/>
      <c r="B1070" s="25"/>
      <c r="C1070" s="25"/>
      <c r="D1070" s="26"/>
    </row>
    <row r="1071" spans="1:4" ht="18" x14ac:dyDescent="0.35">
      <c r="A1071" s="25"/>
      <c r="B1071" s="25"/>
      <c r="C1071" s="25"/>
      <c r="D1071" s="26"/>
    </row>
    <row r="1072" spans="1:4" ht="18" x14ac:dyDescent="0.35">
      <c r="A1072" s="25"/>
      <c r="B1072" s="25"/>
      <c r="C1072" s="25"/>
      <c r="D1072" s="26"/>
    </row>
    <row r="1073" spans="1:4" ht="18" x14ac:dyDescent="0.35">
      <c r="A1073" s="25"/>
      <c r="B1073" s="25"/>
      <c r="C1073" s="25"/>
      <c r="D1073" s="26"/>
    </row>
    <row r="1074" spans="1:4" ht="18" x14ac:dyDescent="0.35">
      <c r="A1074" s="25"/>
      <c r="B1074" s="25"/>
      <c r="C1074" s="25"/>
      <c r="D1074" s="26"/>
    </row>
    <row r="1075" spans="1:4" ht="18" x14ac:dyDescent="0.35">
      <c r="A1075" s="25"/>
      <c r="B1075" s="25"/>
      <c r="C1075" s="25"/>
      <c r="D1075" s="26"/>
    </row>
    <row r="1076" spans="1:4" ht="18" x14ac:dyDescent="0.35">
      <c r="A1076" s="25"/>
      <c r="B1076" s="25"/>
      <c r="C1076" s="25"/>
      <c r="D1076" s="26"/>
    </row>
    <row r="1077" spans="1:4" ht="18" x14ac:dyDescent="0.35">
      <c r="A1077" s="25"/>
      <c r="B1077" s="25"/>
      <c r="C1077" s="25"/>
      <c r="D1077" s="26"/>
    </row>
    <row r="1078" spans="1:4" ht="18" x14ac:dyDescent="0.35">
      <c r="A1078" s="25"/>
      <c r="B1078" s="25"/>
      <c r="C1078" s="25"/>
      <c r="D1078" s="26"/>
    </row>
    <row r="1079" spans="1:4" ht="18" x14ac:dyDescent="0.35">
      <c r="A1079" s="25"/>
      <c r="B1079" s="25"/>
      <c r="C1079" s="25"/>
      <c r="D1079" s="26"/>
    </row>
    <row r="1080" spans="1:4" ht="18" x14ac:dyDescent="0.35">
      <c r="A1080" s="25"/>
      <c r="B1080" s="25"/>
      <c r="C1080" s="25"/>
      <c r="D1080" s="26"/>
    </row>
    <row r="1081" spans="1:4" ht="18" x14ac:dyDescent="0.35">
      <c r="A1081" s="25"/>
      <c r="B1081" s="25"/>
      <c r="C1081" s="25"/>
      <c r="D1081" s="26"/>
    </row>
    <row r="1082" spans="1:4" ht="18" x14ac:dyDescent="0.35">
      <c r="A1082" s="25"/>
      <c r="B1082" s="25"/>
      <c r="C1082" s="25"/>
      <c r="D1082" s="26"/>
    </row>
    <row r="1083" spans="1:4" ht="18" x14ac:dyDescent="0.35">
      <c r="A1083" s="25"/>
      <c r="B1083" s="25"/>
      <c r="C1083" s="25"/>
      <c r="D1083" s="26"/>
    </row>
    <row r="1084" spans="1:4" ht="18" x14ac:dyDescent="0.35">
      <c r="A1084" s="25"/>
      <c r="B1084" s="25"/>
      <c r="C1084" s="25"/>
      <c r="D1084" s="26"/>
    </row>
    <row r="1085" spans="1:4" ht="18" x14ac:dyDescent="0.35">
      <c r="A1085" s="25"/>
      <c r="B1085" s="25"/>
      <c r="C1085" s="25"/>
      <c r="D1085" s="26"/>
    </row>
    <row r="1086" spans="1:4" ht="18" x14ac:dyDescent="0.35">
      <c r="A1086" s="25"/>
      <c r="B1086" s="25"/>
      <c r="C1086" s="25"/>
      <c r="D1086" s="26"/>
    </row>
    <row r="1087" spans="1:4" ht="18" x14ac:dyDescent="0.35">
      <c r="A1087" s="25"/>
      <c r="B1087" s="25"/>
      <c r="C1087" s="25"/>
      <c r="D1087" s="26"/>
    </row>
    <row r="1088" spans="1:4" ht="18" x14ac:dyDescent="0.35">
      <c r="A1088" s="25"/>
      <c r="B1088" s="25"/>
      <c r="C1088" s="25"/>
      <c r="D1088" s="26"/>
    </row>
    <row r="1089" spans="1:4" ht="18" x14ac:dyDescent="0.35">
      <c r="A1089" s="25"/>
      <c r="B1089" s="25"/>
      <c r="C1089" s="25"/>
      <c r="D1089" s="26"/>
    </row>
    <row r="1090" spans="1:4" ht="18" x14ac:dyDescent="0.35">
      <c r="A1090" s="25"/>
      <c r="B1090" s="25"/>
      <c r="C1090" s="25"/>
      <c r="D1090" s="26"/>
    </row>
    <row r="1091" spans="1:4" ht="18" x14ac:dyDescent="0.35">
      <c r="A1091" s="25"/>
      <c r="B1091" s="25"/>
      <c r="C1091" s="25"/>
      <c r="D1091" s="26"/>
    </row>
    <row r="1092" spans="1:4" ht="18" x14ac:dyDescent="0.35">
      <c r="A1092" s="25"/>
      <c r="B1092" s="25"/>
      <c r="C1092" s="25"/>
      <c r="D1092" s="26"/>
    </row>
    <row r="1093" spans="1:4" ht="18" x14ac:dyDescent="0.35">
      <c r="A1093" s="25"/>
      <c r="B1093" s="25"/>
      <c r="C1093" s="25"/>
      <c r="D1093" s="26"/>
    </row>
    <row r="1094" spans="1:4" ht="18" x14ac:dyDescent="0.35">
      <c r="A1094" s="25"/>
      <c r="B1094" s="25"/>
      <c r="C1094" s="25"/>
      <c r="D1094" s="26"/>
    </row>
    <row r="1095" spans="1:4" ht="18" x14ac:dyDescent="0.35">
      <c r="A1095" s="25"/>
      <c r="B1095" s="25"/>
      <c r="C1095" s="25"/>
      <c r="D1095" s="26"/>
    </row>
    <row r="1096" spans="1:4" ht="18" x14ac:dyDescent="0.35">
      <c r="A1096" s="25"/>
      <c r="B1096" s="25"/>
      <c r="C1096" s="25"/>
      <c r="D1096" s="26"/>
    </row>
    <row r="1097" spans="1:4" ht="18" x14ac:dyDescent="0.35">
      <c r="A1097" s="25"/>
      <c r="B1097" s="25"/>
      <c r="C1097" s="25"/>
      <c r="D1097" s="26"/>
    </row>
    <row r="1098" spans="1:4" ht="18" x14ac:dyDescent="0.35">
      <c r="A1098" s="25"/>
      <c r="B1098" s="25"/>
      <c r="C1098" s="25"/>
      <c r="D1098" s="26"/>
    </row>
    <row r="1099" spans="1:4" ht="18" x14ac:dyDescent="0.35">
      <c r="A1099" s="25"/>
      <c r="B1099" s="25"/>
      <c r="C1099" s="25"/>
      <c r="D1099" s="26"/>
    </row>
    <row r="1100" spans="1:4" ht="18" x14ac:dyDescent="0.35">
      <c r="A1100" s="25"/>
      <c r="B1100" s="25"/>
      <c r="C1100" s="25"/>
      <c r="D1100" s="26"/>
    </row>
    <row r="1101" spans="1:4" ht="18" x14ac:dyDescent="0.35">
      <c r="A1101" s="25"/>
      <c r="B1101" s="25"/>
      <c r="C1101" s="25"/>
      <c r="D1101" s="26"/>
    </row>
    <row r="1102" spans="1:4" ht="18" x14ac:dyDescent="0.35">
      <c r="A1102" s="25"/>
      <c r="B1102" s="25"/>
      <c r="C1102" s="25"/>
      <c r="D1102" s="26"/>
    </row>
    <row r="1103" spans="1:4" ht="18" x14ac:dyDescent="0.35">
      <c r="A1103" s="25"/>
      <c r="B1103" s="25"/>
      <c r="C1103" s="25"/>
      <c r="D1103" s="26"/>
    </row>
    <row r="1104" spans="1:4" ht="18" x14ac:dyDescent="0.35">
      <c r="A1104" s="25"/>
      <c r="B1104" s="25"/>
      <c r="C1104" s="25"/>
      <c r="D1104" s="26"/>
    </row>
    <row r="1105" spans="1:4" ht="18" x14ac:dyDescent="0.35">
      <c r="A1105" s="25"/>
      <c r="B1105" s="25"/>
      <c r="C1105" s="25"/>
      <c r="D1105" s="26"/>
    </row>
    <row r="1106" spans="1:4" ht="18" x14ac:dyDescent="0.35">
      <c r="A1106" s="25"/>
      <c r="B1106" s="25"/>
      <c r="C1106" s="25"/>
      <c r="D1106" s="26"/>
    </row>
    <row r="1107" spans="1:4" ht="18" x14ac:dyDescent="0.35">
      <c r="A1107" s="25"/>
      <c r="B1107" s="25"/>
      <c r="C1107" s="25"/>
      <c r="D1107" s="26"/>
    </row>
    <row r="1108" spans="1:4" ht="18" x14ac:dyDescent="0.35">
      <c r="A1108" s="25"/>
      <c r="B1108" s="25"/>
      <c r="C1108" s="25"/>
      <c r="D1108" s="26"/>
    </row>
    <row r="1109" spans="1:4" ht="18" x14ac:dyDescent="0.35">
      <c r="A1109" s="25"/>
      <c r="B1109" s="25"/>
      <c r="C1109" s="25"/>
      <c r="D1109" s="26"/>
    </row>
    <row r="1110" spans="1:4" ht="18" x14ac:dyDescent="0.35">
      <c r="A1110" s="25"/>
      <c r="B1110" s="25"/>
      <c r="C1110" s="25"/>
      <c r="D1110" s="26"/>
    </row>
    <row r="1111" spans="1:4" ht="18" x14ac:dyDescent="0.35">
      <c r="A1111" s="25"/>
      <c r="B1111" s="25"/>
      <c r="C1111" s="25"/>
      <c r="D1111" s="26"/>
    </row>
    <row r="1112" spans="1:4" ht="18" x14ac:dyDescent="0.35">
      <c r="A1112" s="25"/>
      <c r="B1112" s="25"/>
      <c r="C1112" s="25"/>
      <c r="D1112" s="26"/>
    </row>
    <row r="1113" spans="1:4" ht="18" x14ac:dyDescent="0.35">
      <c r="A1113" s="25"/>
      <c r="B1113" s="25"/>
      <c r="C1113" s="25"/>
      <c r="D1113" s="26"/>
    </row>
    <row r="1114" spans="1:4" ht="18" x14ac:dyDescent="0.35">
      <c r="A1114" s="25"/>
      <c r="B1114" s="25"/>
      <c r="C1114" s="25"/>
      <c r="D1114" s="26"/>
    </row>
    <row r="1115" spans="1:4" ht="18" x14ac:dyDescent="0.35">
      <c r="A1115" s="25"/>
      <c r="B1115" s="25"/>
      <c r="C1115" s="25"/>
      <c r="D1115" s="26"/>
    </row>
    <row r="1116" spans="1:4" ht="18" x14ac:dyDescent="0.35">
      <c r="A1116" s="25"/>
      <c r="B1116" s="25"/>
      <c r="C1116" s="25"/>
      <c r="D1116" s="26"/>
    </row>
    <row r="1117" spans="1:4" ht="18" x14ac:dyDescent="0.35">
      <c r="A1117" s="25"/>
      <c r="B1117" s="25"/>
      <c r="C1117" s="25"/>
      <c r="D1117" s="26"/>
    </row>
    <row r="1118" spans="1:4" ht="18" x14ac:dyDescent="0.35">
      <c r="A1118" s="25"/>
      <c r="B1118" s="25"/>
      <c r="C1118" s="25"/>
      <c r="D1118" s="26"/>
    </row>
    <row r="1119" spans="1:4" ht="18" x14ac:dyDescent="0.35">
      <c r="A1119" s="25"/>
      <c r="B1119" s="25"/>
      <c r="C1119" s="25"/>
      <c r="D1119" s="26"/>
    </row>
    <row r="1120" spans="1:4" ht="18" x14ac:dyDescent="0.35">
      <c r="A1120" s="25"/>
      <c r="B1120" s="25"/>
      <c r="C1120" s="25"/>
      <c r="D1120" s="26"/>
    </row>
    <row r="1121" spans="1:4" ht="18" x14ac:dyDescent="0.35">
      <c r="A1121" s="25"/>
      <c r="B1121" s="25"/>
      <c r="C1121" s="25"/>
      <c r="D1121" s="26"/>
    </row>
    <row r="1122" spans="1:4" ht="18" x14ac:dyDescent="0.35">
      <c r="A1122" s="25"/>
      <c r="B1122" s="25"/>
      <c r="C1122" s="25"/>
      <c r="D1122" s="26"/>
    </row>
    <row r="1123" spans="1:4" ht="18" x14ac:dyDescent="0.35">
      <c r="A1123" s="25"/>
      <c r="B1123" s="25"/>
      <c r="C1123" s="25"/>
      <c r="D1123" s="26"/>
    </row>
    <row r="1124" spans="1:4" ht="18" x14ac:dyDescent="0.35">
      <c r="A1124" s="25"/>
      <c r="B1124" s="25"/>
      <c r="C1124" s="25"/>
      <c r="D1124" s="26"/>
    </row>
    <row r="1125" spans="1:4" ht="18" x14ac:dyDescent="0.35">
      <c r="A1125" s="25"/>
      <c r="B1125" s="25"/>
      <c r="C1125" s="25"/>
      <c r="D1125" s="26"/>
    </row>
    <row r="1126" spans="1:4" ht="18" x14ac:dyDescent="0.35">
      <c r="A1126" s="25"/>
      <c r="B1126" s="25"/>
      <c r="C1126" s="25"/>
      <c r="D1126" s="26"/>
    </row>
    <row r="1127" spans="1:4" ht="18" x14ac:dyDescent="0.35">
      <c r="A1127" s="25"/>
      <c r="B1127" s="25"/>
      <c r="C1127" s="25"/>
      <c r="D1127" s="26"/>
    </row>
    <row r="1128" spans="1:4" ht="18" x14ac:dyDescent="0.35">
      <c r="A1128" s="25"/>
      <c r="B1128" s="25"/>
      <c r="C1128" s="25"/>
      <c r="D1128" s="26"/>
    </row>
    <row r="1129" spans="1:4" ht="18" x14ac:dyDescent="0.35">
      <c r="A1129" s="25"/>
      <c r="B1129" s="25"/>
      <c r="C1129" s="25"/>
      <c r="D1129" s="26"/>
    </row>
    <row r="1130" spans="1:4" ht="18" x14ac:dyDescent="0.35">
      <c r="A1130" s="25"/>
      <c r="B1130" s="25"/>
      <c r="C1130" s="25"/>
      <c r="D1130" s="26"/>
    </row>
    <row r="1131" spans="1:4" ht="18" x14ac:dyDescent="0.35">
      <c r="A1131" s="25"/>
      <c r="B1131" s="25"/>
      <c r="C1131" s="25"/>
      <c r="D1131" s="26"/>
    </row>
    <row r="1132" spans="1:4" ht="18" x14ac:dyDescent="0.35">
      <c r="A1132" s="25"/>
      <c r="B1132" s="25"/>
      <c r="C1132" s="25"/>
      <c r="D1132" s="26"/>
    </row>
    <row r="1133" spans="1:4" ht="18" x14ac:dyDescent="0.35">
      <c r="A1133" s="25"/>
      <c r="B1133" s="25"/>
      <c r="C1133" s="25"/>
      <c r="D1133" s="26"/>
    </row>
    <row r="1134" spans="1:4" ht="18" x14ac:dyDescent="0.35">
      <c r="A1134" s="25"/>
      <c r="B1134" s="25"/>
      <c r="C1134" s="25"/>
      <c r="D1134" s="26"/>
    </row>
    <row r="1135" spans="1:4" ht="18" x14ac:dyDescent="0.35">
      <c r="A1135" s="25"/>
      <c r="B1135" s="25"/>
      <c r="C1135" s="25"/>
      <c r="D1135" s="26"/>
    </row>
    <row r="1136" spans="1:4" ht="18" x14ac:dyDescent="0.35">
      <c r="A1136" s="25"/>
      <c r="B1136" s="25"/>
      <c r="C1136" s="25"/>
      <c r="D1136" s="26"/>
    </row>
    <row r="1137" spans="1:4" ht="18" x14ac:dyDescent="0.35">
      <c r="A1137" s="25"/>
      <c r="B1137" s="25"/>
      <c r="C1137" s="25"/>
      <c r="D1137" s="26"/>
    </row>
    <row r="1138" spans="1:4" ht="18" x14ac:dyDescent="0.35">
      <c r="A1138" s="25"/>
      <c r="B1138" s="25"/>
      <c r="C1138" s="25"/>
      <c r="D1138" s="26"/>
    </row>
    <row r="1139" spans="1:4" ht="18" x14ac:dyDescent="0.35">
      <c r="A1139" s="25"/>
      <c r="B1139" s="25"/>
      <c r="C1139" s="25"/>
      <c r="D1139" s="26"/>
    </row>
    <row r="1140" spans="1:4" ht="18" x14ac:dyDescent="0.35">
      <c r="A1140" s="25"/>
      <c r="B1140" s="25"/>
      <c r="C1140" s="25"/>
      <c r="D1140" s="26"/>
    </row>
    <row r="1141" spans="1:4" ht="18" x14ac:dyDescent="0.35">
      <c r="A1141" s="25"/>
      <c r="B1141" s="25"/>
      <c r="C1141" s="25"/>
      <c r="D1141" s="26"/>
    </row>
    <row r="1142" spans="1:4" ht="18" x14ac:dyDescent="0.35">
      <c r="A1142" s="25"/>
      <c r="B1142" s="25"/>
      <c r="C1142" s="25"/>
      <c r="D1142" s="26"/>
    </row>
    <row r="1143" spans="1:4" ht="18" x14ac:dyDescent="0.35">
      <c r="A1143" s="25"/>
      <c r="B1143" s="25"/>
      <c r="C1143" s="25"/>
      <c r="D1143" s="26"/>
    </row>
    <row r="1144" spans="1:4" ht="18" x14ac:dyDescent="0.35">
      <c r="A1144" s="25"/>
      <c r="B1144" s="25"/>
      <c r="C1144" s="25"/>
      <c r="D1144" s="26"/>
    </row>
    <row r="1145" spans="1:4" ht="18" x14ac:dyDescent="0.35">
      <c r="A1145" s="25"/>
      <c r="B1145" s="25"/>
      <c r="C1145" s="25"/>
      <c r="D1145" s="26"/>
    </row>
    <row r="1146" spans="1:4" ht="18" x14ac:dyDescent="0.35">
      <c r="A1146" s="25"/>
      <c r="B1146" s="25"/>
      <c r="C1146" s="25"/>
      <c r="D1146" s="26"/>
    </row>
    <row r="1147" spans="1:4" ht="18" x14ac:dyDescent="0.35">
      <c r="A1147" s="25"/>
      <c r="B1147" s="25"/>
      <c r="C1147" s="25"/>
      <c r="D1147" s="26"/>
    </row>
    <row r="1148" spans="1:4" ht="18" x14ac:dyDescent="0.35">
      <c r="A1148" s="25"/>
      <c r="B1148" s="25"/>
      <c r="C1148" s="25"/>
      <c r="D1148" s="26"/>
    </row>
    <row r="1149" spans="1:4" ht="18" x14ac:dyDescent="0.35">
      <c r="A1149" s="25"/>
      <c r="B1149" s="25"/>
      <c r="C1149" s="25"/>
      <c r="D1149" s="26"/>
    </row>
    <row r="1150" spans="1:4" ht="18" x14ac:dyDescent="0.35">
      <c r="A1150" s="25"/>
      <c r="B1150" s="25"/>
      <c r="C1150" s="25"/>
      <c r="D1150" s="26"/>
    </row>
    <row r="1151" spans="1:4" ht="18" x14ac:dyDescent="0.35">
      <c r="A1151" s="25"/>
      <c r="B1151" s="25"/>
      <c r="C1151" s="25"/>
      <c r="D1151" s="26"/>
    </row>
    <row r="1152" spans="1:4" ht="18" x14ac:dyDescent="0.35">
      <c r="A1152" s="25"/>
      <c r="B1152" s="25"/>
      <c r="C1152" s="25"/>
      <c r="D1152" s="26"/>
    </row>
    <row r="1153" spans="1:4" ht="18" x14ac:dyDescent="0.35">
      <c r="A1153" s="25"/>
      <c r="B1153" s="25"/>
      <c r="C1153" s="25"/>
      <c r="D1153" s="26"/>
    </row>
    <row r="1154" spans="1:4" ht="18" x14ac:dyDescent="0.35">
      <c r="A1154" s="25"/>
      <c r="B1154" s="25"/>
      <c r="C1154" s="25"/>
      <c r="D1154" s="26"/>
    </row>
    <row r="1155" spans="1:4" ht="18" x14ac:dyDescent="0.35">
      <c r="A1155" s="25"/>
      <c r="B1155" s="25"/>
      <c r="C1155" s="25"/>
      <c r="D1155" s="26"/>
    </row>
    <row r="1156" spans="1:4" ht="18" x14ac:dyDescent="0.35">
      <c r="A1156" s="25"/>
      <c r="B1156" s="25"/>
      <c r="C1156" s="25"/>
      <c r="D1156" s="26"/>
    </row>
    <row r="1157" spans="1:4" ht="18" x14ac:dyDescent="0.35">
      <c r="A1157" s="25"/>
      <c r="B1157" s="25"/>
      <c r="C1157" s="25"/>
      <c r="D1157" s="26"/>
    </row>
    <row r="1158" spans="1:4" ht="18" x14ac:dyDescent="0.35">
      <c r="A1158" s="25"/>
      <c r="B1158" s="25"/>
      <c r="C1158" s="25"/>
      <c r="D1158" s="26"/>
    </row>
    <row r="1159" spans="1:4" ht="18" x14ac:dyDescent="0.35">
      <c r="A1159" s="25"/>
      <c r="B1159" s="25"/>
      <c r="C1159" s="25"/>
      <c r="D1159" s="26"/>
    </row>
    <row r="1160" spans="1:4" ht="18" x14ac:dyDescent="0.35">
      <c r="A1160" s="25"/>
      <c r="B1160" s="25"/>
      <c r="C1160" s="25"/>
      <c r="D1160" s="26"/>
    </row>
    <row r="1161" spans="1:4" ht="18" x14ac:dyDescent="0.35">
      <c r="A1161" s="25"/>
      <c r="B1161" s="25"/>
      <c r="C1161" s="25"/>
      <c r="D1161" s="26"/>
    </row>
    <row r="1162" spans="1:4" ht="18" x14ac:dyDescent="0.35">
      <c r="A1162" s="25"/>
      <c r="B1162" s="25"/>
      <c r="C1162" s="25"/>
      <c r="D1162" s="26"/>
    </row>
    <row r="1163" spans="1:4" ht="18" x14ac:dyDescent="0.35">
      <c r="A1163" s="25"/>
      <c r="B1163" s="25"/>
      <c r="C1163" s="25"/>
      <c r="D1163" s="26"/>
    </row>
    <row r="1164" spans="1:4" ht="18" x14ac:dyDescent="0.35">
      <c r="A1164" s="25"/>
      <c r="B1164" s="25"/>
      <c r="C1164" s="25"/>
      <c r="D1164" s="26"/>
    </row>
    <row r="1165" spans="1:4" ht="18" x14ac:dyDescent="0.35">
      <c r="A1165" s="25"/>
      <c r="B1165" s="25"/>
      <c r="C1165" s="25"/>
      <c r="D1165" s="26"/>
    </row>
    <row r="1166" spans="1:4" ht="18" x14ac:dyDescent="0.35">
      <c r="A1166" s="25"/>
      <c r="B1166" s="25"/>
      <c r="C1166" s="25"/>
      <c r="D1166" s="26"/>
    </row>
    <row r="1167" spans="1:4" ht="18" x14ac:dyDescent="0.35">
      <c r="A1167" s="25"/>
      <c r="B1167" s="25"/>
      <c r="C1167" s="25"/>
      <c r="D1167" s="26"/>
    </row>
    <row r="1168" spans="1:4" ht="18" x14ac:dyDescent="0.35">
      <c r="A1168" s="25"/>
      <c r="B1168" s="25"/>
      <c r="C1168" s="25"/>
      <c r="D1168" s="26"/>
    </row>
    <row r="1169" spans="1:4" ht="18" x14ac:dyDescent="0.35">
      <c r="A1169" s="25"/>
      <c r="B1169" s="25"/>
      <c r="C1169" s="25"/>
      <c r="D1169" s="26"/>
    </row>
    <row r="1170" spans="1:4" ht="18" x14ac:dyDescent="0.35">
      <c r="A1170" s="25"/>
      <c r="B1170" s="25"/>
      <c r="C1170" s="25"/>
      <c r="D1170" s="26"/>
    </row>
    <row r="1171" spans="1:4" ht="18" x14ac:dyDescent="0.35">
      <c r="A1171" s="25"/>
      <c r="B1171" s="25"/>
      <c r="C1171" s="25"/>
      <c r="D1171" s="26"/>
    </row>
    <row r="1172" spans="1:4" ht="18" x14ac:dyDescent="0.35">
      <c r="A1172" s="25"/>
      <c r="B1172" s="25"/>
      <c r="C1172" s="25"/>
      <c r="D1172" s="26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A2"/>
  <sheetViews>
    <sheetView workbookViewId="0">
      <selection activeCell="I9" sqref="I9"/>
    </sheetView>
  </sheetViews>
  <sheetFormatPr defaultRowHeight="14.4" x14ac:dyDescent="0.3"/>
  <cols>
    <col min="1" max="1" width="14.33203125" style="1" customWidth="1"/>
    <col min="2" max="16384" width="8.88671875" style="1"/>
  </cols>
  <sheetData>
    <row r="1" spans="1:1" ht="16.95" customHeight="1" x14ac:dyDescent="0.3">
      <c r="A1" s="32" t="s">
        <v>152</v>
      </c>
    </row>
    <row r="2" spans="1:1" x14ac:dyDescent="0.3">
      <c r="A2" s="33">
        <f>MAX(Table1[Invoice])+1</f>
        <v>1</v>
      </c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B1427"/>
  <sheetViews>
    <sheetView tabSelected="1" workbookViewId="0">
      <selection activeCell="C1" sqref="C1:C1048576"/>
    </sheetView>
  </sheetViews>
  <sheetFormatPr defaultRowHeight="14.4" x14ac:dyDescent="0.3"/>
  <cols>
    <col min="1" max="2" width="9.109375" style="37"/>
  </cols>
  <sheetData>
    <row r="1" spans="1:2" ht="19.2" customHeight="1" x14ac:dyDescent="0.3">
      <c r="A1" s="34" t="s">
        <v>8</v>
      </c>
      <c r="B1" s="34" t="s">
        <v>455</v>
      </c>
    </row>
    <row r="2" spans="1:2" ht="19.2" customHeight="1" x14ac:dyDescent="0.3">
      <c r="A2" s="35" t="s">
        <v>1045</v>
      </c>
      <c r="B2" s="35">
        <v>30</v>
      </c>
    </row>
    <row r="3" spans="1:2" ht="19.2" customHeight="1" x14ac:dyDescent="0.3">
      <c r="A3" s="35" t="s">
        <v>1046</v>
      </c>
      <c r="B3" s="35">
        <v>50</v>
      </c>
    </row>
    <row r="4" spans="1:2" ht="19.2" customHeight="1" x14ac:dyDescent="0.3">
      <c r="A4" s="35" t="s">
        <v>1047</v>
      </c>
      <c r="B4" s="35">
        <v>60</v>
      </c>
    </row>
    <row r="5" spans="1:2" ht="19.2" customHeight="1" x14ac:dyDescent="0.3">
      <c r="A5" s="35" t="s">
        <v>1048</v>
      </c>
      <c r="B5" s="35">
        <v>200</v>
      </c>
    </row>
    <row r="6" spans="1:2" ht="19.2" customHeight="1" x14ac:dyDescent="0.3">
      <c r="A6" s="35" t="s">
        <v>1049</v>
      </c>
      <c r="B6" s="35">
        <v>50</v>
      </c>
    </row>
    <row r="7" spans="1:2" ht="19.2" customHeight="1" x14ac:dyDescent="0.3">
      <c r="A7" s="35" t="s">
        <v>1104</v>
      </c>
      <c r="B7" s="35">
        <v>60</v>
      </c>
    </row>
    <row r="8" spans="1:2" ht="19.2" customHeight="1" x14ac:dyDescent="0.3">
      <c r="A8" s="35" t="s">
        <v>1296</v>
      </c>
      <c r="B8" s="35">
        <v>10</v>
      </c>
    </row>
    <row r="9" spans="1:2" ht="19.2" customHeight="1" x14ac:dyDescent="0.3">
      <c r="A9" s="35" t="s">
        <v>1297</v>
      </c>
      <c r="B9" s="35">
        <v>20</v>
      </c>
    </row>
    <row r="10" spans="1:2" x14ac:dyDescent="0.3">
      <c r="A10" s="35">
        <v>1</v>
      </c>
      <c r="B10" s="35">
        <v>99</v>
      </c>
    </row>
    <row r="11" spans="1:2" x14ac:dyDescent="0.3">
      <c r="A11" s="35">
        <v>2</v>
      </c>
      <c r="B11" s="35">
        <v>129</v>
      </c>
    </row>
    <row r="12" spans="1:2" x14ac:dyDescent="0.3">
      <c r="A12" s="35">
        <v>3</v>
      </c>
      <c r="B12" s="35">
        <v>139</v>
      </c>
    </row>
    <row r="13" spans="1:2" x14ac:dyDescent="0.3">
      <c r="A13" s="35">
        <v>4</v>
      </c>
      <c r="B13" s="35">
        <v>149</v>
      </c>
    </row>
    <row r="14" spans="1:2" x14ac:dyDescent="0.3">
      <c r="A14" s="35">
        <v>5</v>
      </c>
      <c r="B14" s="35">
        <v>159</v>
      </c>
    </row>
    <row r="15" spans="1:2" x14ac:dyDescent="0.3">
      <c r="A15" s="35">
        <v>6</v>
      </c>
      <c r="B15" s="35">
        <v>169</v>
      </c>
    </row>
    <row r="16" spans="1:2" x14ac:dyDescent="0.3">
      <c r="A16" s="35">
        <v>7</v>
      </c>
      <c r="B16" s="35">
        <v>179</v>
      </c>
    </row>
    <row r="17" spans="1:2" x14ac:dyDescent="0.3">
      <c r="A17" s="35">
        <v>8</v>
      </c>
      <c r="B17" s="35">
        <v>189</v>
      </c>
    </row>
    <row r="18" spans="1:2" x14ac:dyDescent="0.3">
      <c r="A18" s="35">
        <v>9</v>
      </c>
      <c r="B18" s="35">
        <v>199</v>
      </c>
    </row>
    <row r="19" spans="1:2" x14ac:dyDescent="0.3">
      <c r="A19" s="35">
        <v>10</v>
      </c>
      <c r="B19" s="35">
        <v>209</v>
      </c>
    </row>
    <row r="20" spans="1:2" x14ac:dyDescent="0.3">
      <c r="A20" s="35">
        <v>11</v>
      </c>
      <c r="B20" s="35">
        <v>219</v>
      </c>
    </row>
    <row r="21" spans="1:2" x14ac:dyDescent="0.3">
      <c r="A21" s="35">
        <v>12</v>
      </c>
      <c r="B21" s="35">
        <v>229</v>
      </c>
    </row>
    <row r="22" spans="1:2" x14ac:dyDescent="0.3">
      <c r="A22" s="35">
        <v>13</v>
      </c>
      <c r="B22" s="35">
        <v>239</v>
      </c>
    </row>
    <row r="23" spans="1:2" x14ac:dyDescent="0.3">
      <c r="A23" s="35">
        <v>14</v>
      </c>
      <c r="B23" s="35">
        <v>249</v>
      </c>
    </row>
    <row r="24" spans="1:2" x14ac:dyDescent="0.3">
      <c r="A24" s="35">
        <v>15</v>
      </c>
      <c r="B24" s="35">
        <v>259</v>
      </c>
    </row>
    <row r="25" spans="1:2" x14ac:dyDescent="0.3">
      <c r="A25" s="35">
        <v>16</v>
      </c>
      <c r="B25" s="35">
        <v>269</v>
      </c>
    </row>
    <row r="26" spans="1:2" x14ac:dyDescent="0.3">
      <c r="A26" s="35">
        <v>17</v>
      </c>
      <c r="B26" s="35">
        <v>279</v>
      </c>
    </row>
    <row r="27" spans="1:2" x14ac:dyDescent="0.3">
      <c r="A27" s="35">
        <v>18</v>
      </c>
      <c r="B27" s="35">
        <v>289</v>
      </c>
    </row>
    <row r="28" spans="1:2" x14ac:dyDescent="0.3">
      <c r="A28" s="35">
        <v>19</v>
      </c>
      <c r="B28" s="35">
        <v>299</v>
      </c>
    </row>
    <row r="29" spans="1:2" x14ac:dyDescent="0.3">
      <c r="A29" s="35">
        <v>20</v>
      </c>
      <c r="B29" s="35">
        <v>309</v>
      </c>
    </row>
    <row r="30" spans="1:2" x14ac:dyDescent="0.3">
      <c r="A30" s="35">
        <v>21</v>
      </c>
      <c r="B30" s="35">
        <v>319</v>
      </c>
    </row>
    <row r="31" spans="1:2" x14ac:dyDescent="0.3">
      <c r="A31" s="35">
        <v>22</v>
      </c>
      <c r="B31" s="35">
        <v>329</v>
      </c>
    </row>
    <row r="32" spans="1:2" x14ac:dyDescent="0.3">
      <c r="A32" s="35">
        <v>23</v>
      </c>
      <c r="B32" s="35">
        <v>339</v>
      </c>
    </row>
    <row r="33" spans="1:2" x14ac:dyDescent="0.3">
      <c r="A33" s="35">
        <v>24</v>
      </c>
      <c r="B33" s="35">
        <v>349</v>
      </c>
    </row>
    <row r="34" spans="1:2" x14ac:dyDescent="0.3">
      <c r="A34" s="35">
        <v>25</v>
      </c>
      <c r="B34" s="35">
        <v>359</v>
      </c>
    </row>
    <row r="35" spans="1:2" x14ac:dyDescent="0.3">
      <c r="A35" s="35">
        <v>26</v>
      </c>
      <c r="B35" s="35">
        <v>369</v>
      </c>
    </row>
    <row r="36" spans="1:2" x14ac:dyDescent="0.3">
      <c r="A36" s="35">
        <v>27</v>
      </c>
      <c r="B36" s="35">
        <v>379</v>
      </c>
    </row>
    <row r="37" spans="1:2" x14ac:dyDescent="0.3">
      <c r="A37" s="35">
        <v>28</v>
      </c>
      <c r="B37" s="35">
        <v>389</v>
      </c>
    </row>
    <row r="38" spans="1:2" x14ac:dyDescent="0.3">
      <c r="A38" s="35">
        <v>29</v>
      </c>
      <c r="B38" s="35">
        <v>399</v>
      </c>
    </row>
    <row r="39" spans="1:2" x14ac:dyDescent="0.3">
      <c r="A39" s="35">
        <v>30</v>
      </c>
      <c r="B39" s="35">
        <v>109</v>
      </c>
    </row>
    <row r="40" spans="1:2" x14ac:dyDescent="0.3">
      <c r="A40" s="35">
        <v>31</v>
      </c>
      <c r="B40" s="35">
        <v>49</v>
      </c>
    </row>
    <row r="41" spans="1:2" x14ac:dyDescent="0.3">
      <c r="A41" s="35">
        <v>32</v>
      </c>
      <c r="B41" s="35">
        <v>69</v>
      </c>
    </row>
    <row r="42" spans="1:2" x14ac:dyDescent="0.3">
      <c r="A42" s="35">
        <v>33</v>
      </c>
      <c r="B42" s="35">
        <v>119</v>
      </c>
    </row>
    <row r="43" spans="1:2" x14ac:dyDescent="0.3">
      <c r="A43" s="35">
        <v>34</v>
      </c>
      <c r="B43" s="35">
        <v>449</v>
      </c>
    </row>
    <row r="44" spans="1:2" x14ac:dyDescent="0.3">
      <c r="A44" s="35">
        <v>35</v>
      </c>
      <c r="B44" s="35">
        <v>529</v>
      </c>
    </row>
    <row r="45" spans="1:2" x14ac:dyDescent="0.3">
      <c r="A45" s="35">
        <v>36</v>
      </c>
      <c r="B45" s="35">
        <v>429</v>
      </c>
    </row>
    <row r="46" spans="1:2" x14ac:dyDescent="0.3">
      <c r="A46" s="35">
        <v>37</v>
      </c>
      <c r="B46" s="35">
        <v>109</v>
      </c>
    </row>
    <row r="47" spans="1:2" x14ac:dyDescent="0.3">
      <c r="A47" s="35">
        <v>38</v>
      </c>
      <c r="B47" s="35">
        <v>119</v>
      </c>
    </row>
    <row r="48" spans="1:2" x14ac:dyDescent="0.3">
      <c r="A48" s="35">
        <v>39</v>
      </c>
      <c r="B48" s="35">
        <v>129</v>
      </c>
    </row>
    <row r="49" spans="1:2" x14ac:dyDescent="0.3">
      <c r="A49" s="35">
        <v>40</v>
      </c>
      <c r="B49" s="35">
        <v>139</v>
      </c>
    </row>
    <row r="50" spans="1:2" x14ac:dyDescent="0.3">
      <c r="A50" s="35">
        <v>41</v>
      </c>
      <c r="B50" s="35">
        <v>149</v>
      </c>
    </row>
    <row r="51" spans="1:2" x14ac:dyDescent="0.3">
      <c r="A51" s="35">
        <v>42</v>
      </c>
      <c r="B51" s="35">
        <v>159</v>
      </c>
    </row>
    <row r="52" spans="1:2" x14ac:dyDescent="0.3">
      <c r="A52" s="35">
        <v>43</v>
      </c>
      <c r="B52" s="35">
        <v>169</v>
      </c>
    </row>
    <row r="53" spans="1:2" x14ac:dyDescent="0.3">
      <c r="A53" s="35">
        <v>44</v>
      </c>
      <c r="B53" s="35">
        <v>179</v>
      </c>
    </row>
    <row r="54" spans="1:2" x14ac:dyDescent="0.3">
      <c r="A54" s="35">
        <v>45</v>
      </c>
      <c r="B54" s="35">
        <v>189</v>
      </c>
    </row>
    <row r="55" spans="1:2" x14ac:dyDescent="0.3">
      <c r="A55" s="35">
        <v>46</v>
      </c>
      <c r="B55" s="35">
        <v>199</v>
      </c>
    </row>
    <row r="56" spans="1:2" x14ac:dyDescent="0.3">
      <c r="A56" s="35">
        <v>47</v>
      </c>
      <c r="B56" s="35">
        <v>209</v>
      </c>
    </row>
    <row r="57" spans="1:2" x14ac:dyDescent="0.3">
      <c r="A57" s="35">
        <v>48</v>
      </c>
      <c r="B57" s="35">
        <v>219</v>
      </c>
    </row>
    <row r="58" spans="1:2" x14ac:dyDescent="0.3">
      <c r="A58" s="35">
        <v>49</v>
      </c>
      <c r="B58" s="35">
        <v>229</v>
      </c>
    </row>
    <row r="59" spans="1:2" x14ac:dyDescent="0.3">
      <c r="A59" s="35">
        <v>50</v>
      </c>
      <c r="B59" s="35">
        <v>239</v>
      </c>
    </row>
    <row r="60" spans="1:2" x14ac:dyDescent="0.3">
      <c r="A60" s="35">
        <v>51</v>
      </c>
      <c r="B60" s="35">
        <v>249</v>
      </c>
    </row>
    <row r="61" spans="1:2" x14ac:dyDescent="0.3">
      <c r="A61" s="35">
        <v>52</v>
      </c>
      <c r="B61" s="35">
        <v>259</v>
      </c>
    </row>
    <row r="62" spans="1:2" x14ac:dyDescent="0.3">
      <c r="A62" s="35">
        <v>53</v>
      </c>
      <c r="B62" s="35">
        <v>269</v>
      </c>
    </row>
    <row r="63" spans="1:2" x14ac:dyDescent="0.3">
      <c r="A63" s="35">
        <v>54</v>
      </c>
      <c r="B63" s="35">
        <v>279</v>
      </c>
    </row>
    <row r="64" spans="1:2" x14ac:dyDescent="0.3">
      <c r="A64" s="35">
        <v>55</v>
      </c>
      <c r="B64" s="35">
        <v>289</v>
      </c>
    </row>
    <row r="65" spans="1:2" x14ac:dyDescent="0.3">
      <c r="A65" s="35">
        <v>56</v>
      </c>
      <c r="B65" s="35">
        <v>299</v>
      </c>
    </row>
    <row r="66" spans="1:2" x14ac:dyDescent="0.3">
      <c r="A66" s="35">
        <v>57</v>
      </c>
      <c r="B66" s="35">
        <v>309</v>
      </c>
    </row>
    <row r="67" spans="1:2" x14ac:dyDescent="0.3">
      <c r="A67" s="35">
        <v>58</v>
      </c>
      <c r="B67" s="35">
        <v>319</v>
      </c>
    </row>
    <row r="68" spans="1:2" x14ac:dyDescent="0.3">
      <c r="A68" s="35">
        <v>59</v>
      </c>
      <c r="B68" s="35">
        <v>329</v>
      </c>
    </row>
    <row r="69" spans="1:2" x14ac:dyDescent="0.3">
      <c r="A69" s="35">
        <v>60</v>
      </c>
      <c r="B69" s="35">
        <v>339</v>
      </c>
    </row>
    <row r="70" spans="1:2" x14ac:dyDescent="0.3">
      <c r="A70" s="35">
        <v>61</v>
      </c>
      <c r="B70" s="35">
        <v>349</v>
      </c>
    </row>
    <row r="71" spans="1:2" x14ac:dyDescent="0.3">
      <c r="A71" s="35">
        <v>62</v>
      </c>
      <c r="B71" s="35">
        <v>359</v>
      </c>
    </row>
    <row r="72" spans="1:2" x14ac:dyDescent="0.3">
      <c r="A72" s="35">
        <v>63</v>
      </c>
      <c r="B72" s="35">
        <v>369</v>
      </c>
    </row>
    <row r="73" spans="1:2" x14ac:dyDescent="0.3">
      <c r="A73" s="35">
        <v>64</v>
      </c>
      <c r="B73" s="35">
        <v>379</v>
      </c>
    </row>
    <row r="74" spans="1:2" x14ac:dyDescent="0.3">
      <c r="A74" s="35">
        <v>65</v>
      </c>
      <c r="B74" s="35">
        <v>389</v>
      </c>
    </row>
    <row r="75" spans="1:2" x14ac:dyDescent="0.3">
      <c r="A75" s="35">
        <v>66</v>
      </c>
      <c r="B75" s="35">
        <v>399</v>
      </c>
    </row>
    <row r="76" spans="1:2" x14ac:dyDescent="0.3">
      <c r="A76" s="35">
        <v>31</v>
      </c>
      <c r="B76" s="35">
        <v>49</v>
      </c>
    </row>
    <row r="77" spans="1:2" x14ac:dyDescent="0.3">
      <c r="A77" s="35" t="s">
        <v>592</v>
      </c>
      <c r="B77" s="35">
        <v>99</v>
      </c>
    </row>
    <row r="78" spans="1:2" x14ac:dyDescent="0.3">
      <c r="A78" s="35" t="s">
        <v>10</v>
      </c>
      <c r="B78" s="35">
        <v>99</v>
      </c>
    </row>
    <row r="79" spans="1:2" x14ac:dyDescent="0.3">
      <c r="A79" s="35" t="s">
        <v>11</v>
      </c>
      <c r="B79" s="35">
        <v>139</v>
      </c>
    </row>
    <row r="80" spans="1:2" x14ac:dyDescent="0.3">
      <c r="A80" s="35" t="s">
        <v>12</v>
      </c>
      <c r="B80" s="35">
        <v>109</v>
      </c>
    </row>
    <row r="81" spans="1:2" x14ac:dyDescent="0.3">
      <c r="A81" s="35" t="s">
        <v>13</v>
      </c>
      <c r="B81" s="35">
        <v>199</v>
      </c>
    </row>
    <row r="82" spans="1:2" x14ac:dyDescent="0.3">
      <c r="A82" s="35" t="s">
        <v>14</v>
      </c>
      <c r="B82" s="35">
        <v>149</v>
      </c>
    </row>
    <row r="83" spans="1:2" x14ac:dyDescent="0.3">
      <c r="A83" s="35" t="s">
        <v>15</v>
      </c>
      <c r="B83" s="35">
        <v>99</v>
      </c>
    </row>
    <row r="84" spans="1:2" x14ac:dyDescent="0.3">
      <c r="A84" s="35" t="s">
        <v>16</v>
      </c>
      <c r="B84" s="35">
        <v>149</v>
      </c>
    </row>
    <row r="85" spans="1:2" x14ac:dyDescent="0.3">
      <c r="A85" s="35" t="s">
        <v>17</v>
      </c>
      <c r="B85" s="35">
        <v>109</v>
      </c>
    </row>
    <row r="86" spans="1:2" x14ac:dyDescent="0.3">
      <c r="A86" s="35" t="s">
        <v>18</v>
      </c>
      <c r="B86" s="35"/>
    </row>
    <row r="87" spans="1:2" x14ac:dyDescent="0.3">
      <c r="A87" s="35" t="s">
        <v>19</v>
      </c>
      <c r="B87" s="35">
        <v>129</v>
      </c>
    </row>
    <row r="88" spans="1:2" x14ac:dyDescent="0.3">
      <c r="A88" s="35" t="s">
        <v>20</v>
      </c>
      <c r="B88" s="35">
        <v>199</v>
      </c>
    </row>
    <row r="89" spans="1:2" x14ac:dyDescent="0.3">
      <c r="A89" s="35" t="s">
        <v>21</v>
      </c>
      <c r="B89" s="35">
        <v>209</v>
      </c>
    </row>
    <row r="90" spans="1:2" x14ac:dyDescent="0.3">
      <c r="A90" s="35" t="s">
        <v>22</v>
      </c>
      <c r="B90" s="35">
        <v>149</v>
      </c>
    </row>
    <row r="91" spans="1:2" x14ac:dyDescent="0.3">
      <c r="A91" s="35" t="s">
        <v>23</v>
      </c>
      <c r="B91" s="35">
        <v>109</v>
      </c>
    </row>
    <row r="92" spans="1:2" x14ac:dyDescent="0.3">
      <c r="A92" s="35" t="s">
        <v>24</v>
      </c>
      <c r="B92" s="35">
        <v>129</v>
      </c>
    </row>
    <row r="93" spans="1:2" x14ac:dyDescent="0.3">
      <c r="A93" s="35" t="s">
        <v>25</v>
      </c>
      <c r="B93" s="35"/>
    </row>
    <row r="94" spans="1:2" x14ac:dyDescent="0.3">
      <c r="A94" s="35" t="s">
        <v>26</v>
      </c>
      <c r="B94" s="35">
        <v>109</v>
      </c>
    </row>
    <row r="95" spans="1:2" x14ac:dyDescent="0.3">
      <c r="A95" s="35" t="s">
        <v>36</v>
      </c>
      <c r="B95" s="35">
        <v>199</v>
      </c>
    </row>
    <row r="96" spans="1:2" x14ac:dyDescent="0.3">
      <c r="A96" s="35" t="s">
        <v>29</v>
      </c>
      <c r="B96" s="35">
        <v>199</v>
      </c>
    </row>
    <row r="97" spans="1:2" x14ac:dyDescent="0.3">
      <c r="A97" s="35" t="s">
        <v>30</v>
      </c>
      <c r="B97" s="35">
        <v>149</v>
      </c>
    </row>
    <row r="98" spans="1:2" x14ac:dyDescent="0.3">
      <c r="A98" s="35" t="s">
        <v>33</v>
      </c>
      <c r="B98" s="35">
        <v>169</v>
      </c>
    </row>
    <row r="99" spans="1:2" x14ac:dyDescent="0.3">
      <c r="A99" s="35" t="s">
        <v>32</v>
      </c>
      <c r="B99" s="35">
        <v>199</v>
      </c>
    </row>
    <row r="100" spans="1:2" x14ac:dyDescent="0.3">
      <c r="A100" s="35" t="s">
        <v>39</v>
      </c>
      <c r="B100" s="35">
        <v>199</v>
      </c>
    </row>
    <row r="101" spans="1:2" x14ac:dyDescent="0.3">
      <c r="A101" s="35" t="s">
        <v>34</v>
      </c>
      <c r="B101" s="35">
        <v>199</v>
      </c>
    </row>
    <row r="102" spans="1:2" x14ac:dyDescent="0.3">
      <c r="A102" s="35" t="s">
        <v>35</v>
      </c>
      <c r="B102" s="35">
        <v>299</v>
      </c>
    </row>
    <row r="103" spans="1:2" x14ac:dyDescent="0.3">
      <c r="A103" s="35" t="s">
        <v>37</v>
      </c>
      <c r="B103" s="35">
        <v>99</v>
      </c>
    </row>
    <row r="104" spans="1:2" x14ac:dyDescent="0.3">
      <c r="A104" s="35" t="s">
        <v>38</v>
      </c>
      <c r="B104" s="35">
        <v>149</v>
      </c>
    </row>
    <row r="105" spans="1:2" x14ac:dyDescent="0.3">
      <c r="A105" s="35" t="s">
        <v>31</v>
      </c>
      <c r="B105" s="35">
        <v>129</v>
      </c>
    </row>
    <row r="106" spans="1:2" x14ac:dyDescent="0.3">
      <c r="A106" s="35" t="s">
        <v>28</v>
      </c>
      <c r="B106" s="35">
        <v>129</v>
      </c>
    </row>
    <row r="107" spans="1:2" x14ac:dyDescent="0.3">
      <c r="A107" s="35" t="s">
        <v>27</v>
      </c>
      <c r="B107" s="35">
        <v>149</v>
      </c>
    </row>
    <row r="108" spans="1:2" x14ac:dyDescent="0.3">
      <c r="A108" s="35" t="s">
        <v>51</v>
      </c>
      <c r="B108" s="35">
        <v>229</v>
      </c>
    </row>
    <row r="109" spans="1:2" x14ac:dyDescent="0.3">
      <c r="A109" s="35" t="s">
        <v>52</v>
      </c>
      <c r="B109" s="35">
        <v>199</v>
      </c>
    </row>
    <row r="110" spans="1:2" x14ac:dyDescent="0.3">
      <c r="A110" s="35" t="s">
        <v>53</v>
      </c>
      <c r="B110" s="35">
        <v>249</v>
      </c>
    </row>
    <row r="111" spans="1:2" x14ac:dyDescent="0.3">
      <c r="A111" s="35" t="s">
        <v>54</v>
      </c>
      <c r="B111" s="35">
        <v>209</v>
      </c>
    </row>
    <row r="112" spans="1:2" x14ac:dyDescent="0.3">
      <c r="A112" s="35" t="s">
        <v>40</v>
      </c>
      <c r="B112" s="35">
        <v>99</v>
      </c>
    </row>
    <row r="113" spans="1:2" x14ac:dyDescent="0.3">
      <c r="A113" s="35" t="s">
        <v>41</v>
      </c>
      <c r="B113" s="35">
        <v>249</v>
      </c>
    </row>
    <row r="114" spans="1:2" x14ac:dyDescent="0.3">
      <c r="A114" s="35" t="s">
        <v>42</v>
      </c>
      <c r="B114" s="35">
        <v>99</v>
      </c>
    </row>
    <row r="115" spans="1:2" x14ac:dyDescent="0.3">
      <c r="A115" s="35" t="s">
        <v>43</v>
      </c>
      <c r="B115" s="35">
        <v>129</v>
      </c>
    </row>
    <row r="116" spans="1:2" x14ac:dyDescent="0.3">
      <c r="A116" s="35" t="s">
        <v>44</v>
      </c>
      <c r="B116" s="35">
        <v>129</v>
      </c>
    </row>
    <row r="117" spans="1:2" x14ac:dyDescent="0.3">
      <c r="A117" s="35" t="s">
        <v>45</v>
      </c>
      <c r="B117" s="35">
        <v>149</v>
      </c>
    </row>
    <row r="118" spans="1:2" x14ac:dyDescent="0.3">
      <c r="A118" s="35" t="s">
        <v>46</v>
      </c>
      <c r="B118" s="35">
        <v>99</v>
      </c>
    </row>
    <row r="119" spans="1:2" x14ac:dyDescent="0.3">
      <c r="A119" s="35" t="s">
        <v>47</v>
      </c>
      <c r="B119" s="35">
        <v>270.25</v>
      </c>
    </row>
    <row r="120" spans="1:2" x14ac:dyDescent="0.3">
      <c r="A120" s="35" t="s">
        <v>48</v>
      </c>
      <c r="B120" s="35">
        <v>109</v>
      </c>
    </row>
    <row r="121" spans="1:2" x14ac:dyDescent="0.3">
      <c r="A121" s="35" t="s">
        <v>49</v>
      </c>
      <c r="B121" s="35">
        <v>99</v>
      </c>
    </row>
    <row r="122" spans="1:2" x14ac:dyDescent="0.3">
      <c r="A122" s="35" t="s">
        <v>50</v>
      </c>
      <c r="B122" s="35">
        <v>199</v>
      </c>
    </row>
    <row r="123" spans="1:2" x14ac:dyDescent="0.3">
      <c r="A123" s="35" t="s">
        <v>153</v>
      </c>
      <c r="B123" s="35">
        <v>199</v>
      </c>
    </row>
    <row r="124" spans="1:2" x14ac:dyDescent="0.3">
      <c r="A124" s="35" t="s">
        <v>154</v>
      </c>
      <c r="B124" s="35">
        <v>349</v>
      </c>
    </row>
    <row r="125" spans="1:2" x14ac:dyDescent="0.3">
      <c r="A125" s="35" t="s">
        <v>155</v>
      </c>
      <c r="B125" s="35">
        <v>349</v>
      </c>
    </row>
    <row r="126" spans="1:2" x14ac:dyDescent="0.3">
      <c r="A126" s="35" t="s">
        <v>156</v>
      </c>
      <c r="B126" s="35">
        <v>229</v>
      </c>
    </row>
    <row r="127" spans="1:2" x14ac:dyDescent="0.3">
      <c r="A127" s="35" t="s">
        <v>157</v>
      </c>
      <c r="B127" s="35">
        <v>199</v>
      </c>
    </row>
    <row r="128" spans="1:2" x14ac:dyDescent="0.3">
      <c r="A128" s="35" t="s">
        <v>158</v>
      </c>
      <c r="B128" s="35">
        <v>229</v>
      </c>
    </row>
    <row r="129" spans="1:2" x14ac:dyDescent="0.3">
      <c r="A129" s="35" t="s">
        <v>159</v>
      </c>
      <c r="B129" s="35">
        <v>329</v>
      </c>
    </row>
    <row r="130" spans="1:2" x14ac:dyDescent="0.3">
      <c r="A130" s="35" t="s">
        <v>160</v>
      </c>
      <c r="B130" s="35">
        <v>349</v>
      </c>
    </row>
    <row r="131" spans="1:2" x14ac:dyDescent="0.3">
      <c r="A131" s="35" t="s">
        <v>161</v>
      </c>
      <c r="B131" s="35">
        <v>99</v>
      </c>
    </row>
    <row r="132" spans="1:2" x14ac:dyDescent="0.3">
      <c r="A132" s="35" t="s">
        <v>162</v>
      </c>
      <c r="B132" s="35">
        <v>149</v>
      </c>
    </row>
    <row r="133" spans="1:2" x14ac:dyDescent="0.3">
      <c r="A133" s="35" t="s">
        <v>163</v>
      </c>
      <c r="B133" s="35">
        <v>199</v>
      </c>
    </row>
    <row r="134" spans="1:2" x14ac:dyDescent="0.3">
      <c r="A134" s="35" t="s">
        <v>164</v>
      </c>
      <c r="B134" s="35">
        <v>229</v>
      </c>
    </row>
    <row r="135" spans="1:2" x14ac:dyDescent="0.3">
      <c r="A135" s="35" t="s">
        <v>165</v>
      </c>
      <c r="B135" s="35">
        <v>149</v>
      </c>
    </row>
    <row r="136" spans="1:2" x14ac:dyDescent="0.3">
      <c r="A136" s="35" t="s">
        <v>166</v>
      </c>
      <c r="B136" s="35">
        <v>199</v>
      </c>
    </row>
    <row r="137" spans="1:2" x14ac:dyDescent="0.3">
      <c r="A137" s="35" t="s">
        <v>167</v>
      </c>
      <c r="B137" s="35">
        <v>199</v>
      </c>
    </row>
    <row r="138" spans="1:2" x14ac:dyDescent="0.3">
      <c r="A138" s="35" t="s">
        <v>168</v>
      </c>
      <c r="B138" s="35">
        <v>189</v>
      </c>
    </row>
    <row r="139" spans="1:2" x14ac:dyDescent="0.3">
      <c r="A139" s="35" t="s">
        <v>169</v>
      </c>
      <c r="B139" s="35">
        <v>149</v>
      </c>
    </row>
    <row r="140" spans="1:2" x14ac:dyDescent="0.3">
      <c r="A140" s="35" t="s">
        <v>170</v>
      </c>
      <c r="B140" s="35">
        <v>169</v>
      </c>
    </row>
    <row r="141" spans="1:2" x14ac:dyDescent="0.3">
      <c r="A141" s="35" t="s">
        <v>171</v>
      </c>
      <c r="B141" s="35">
        <v>159</v>
      </c>
    </row>
    <row r="142" spans="1:2" x14ac:dyDescent="0.3">
      <c r="A142" s="35" t="s">
        <v>172</v>
      </c>
      <c r="B142" s="35">
        <v>159</v>
      </c>
    </row>
    <row r="143" spans="1:2" x14ac:dyDescent="0.3">
      <c r="A143" s="35" t="s">
        <v>173</v>
      </c>
      <c r="B143" s="35">
        <v>99</v>
      </c>
    </row>
    <row r="144" spans="1:2" x14ac:dyDescent="0.3">
      <c r="A144" s="35" t="s">
        <v>174</v>
      </c>
      <c r="B144" s="35">
        <v>159</v>
      </c>
    </row>
    <row r="145" spans="1:2" x14ac:dyDescent="0.3">
      <c r="A145" s="35" t="s">
        <v>175</v>
      </c>
      <c r="B145" s="35">
        <v>129</v>
      </c>
    </row>
    <row r="146" spans="1:2" x14ac:dyDescent="0.3">
      <c r="A146" s="35" t="s">
        <v>176</v>
      </c>
      <c r="B146" s="35">
        <v>129</v>
      </c>
    </row>
    <row r="147" spans="1:2" x14ac:dyDescent="0.3">
      <c r="A147" s="35" t="s">
        <v>177</v>
      </c>
      <c r="B147" s="35">
        <v>149</v>
      </c>
    </row>
    <row r="148" spans="1:2" x14ac:dyDescent="0.3">
      <c r="A148" s="35" t="s">
        <v>178</v>
      </c>
      <c r="B148" s="35">
        <v>169</v>
      </c>
    </row>
    <row r="149" spans="1:2" x14ac:dyDescent="0.3">
      <c r="A149" s="35" t="s">
        <v>184</v>
      </c>
      <c r="B149" s="35">
        <v>199</v>
      </c>
    </row>
    <row r="150" spans="1:2" x14ac:dyDescent="0.3">
      <c r="A150" s="35" t="s">
        <v>185</v>
      </c>
      <c r="B150" s="35">
        <v>179</v>
      </c>
    </row>
    <row r="151" spans="1:2" x14ac:dyDescent="0.3">
      <c r="A151" s="35" t="s">
        <v>186</v>
      </c>
      <c r="B151" s="35">
        <v>99</v>
      </c>
    </row>
    <row r="152" spans="1:2" x14ac:dyDescent="0.3">
      <c r="A152" s="35" t="s">
        <v>187</v>
      </c>
      <c r="B152" s="35">
        <v>99</v>
      </c>
    </row>
    <row r="153" spans="1:2" x14ac:dyDescent="0.3">
      <c r="A153" s="35" t="s">
        <v>188</v>
      </c>
      <c r="B153" s="35">
        <v>99</v>
      </c>
    </row>
    <row r="154" spans="1:2" x14ac:dyDescent="0.3">
      <c r="A154" s="35" t="s">
        <v>189</v>
      </c>
      <c r="B154" s="35">
        <v>129</v>
      </c>
    </row>
    <row r="155" spans="1:2" x14ac:dyDescent="0.3">
      <c r="A155" s="35" t="s">
        <v>190</v>
      </c>
      <c r="B155" s="35">
        <v>139</v>
      </c>
    </row>
    <row r="156" spans="1:2" x14ac:dyDescent="0.3">
      <c r="A156" s="35" t="s">
        <v>183</v>
      </c>
      <c r="B156" s="35">
        <v>299</v>
      </c>
    </row>
    <row r="157" spans="1:2" x14ac:dyDescent="0.3">
      <c r="A157" s="35" t="s">
        <v>191</v>
      </c>
      <c r="B157" s="35">
        <v>199</v>
      </c>
    </row>
    <row r="158" spans="1:2" x14ac:dyDescent="0.3">
      <c r="A158" s="35" t="s">
        <v>192</v>
      </c>
      <c r="B158" s="35">
        <v>172.5</v>
      </c>
    </row>
    <row r="159" spans="1:2" x14ac:dyDescent="0.3">
      <c r="A159" s="35" t="s">
        <v>193</v>
      </c>
      <c r="B159" s="35">
        <v>139</v>
      </c>
    </row>
    <row r="160" spans="1:2" x14ac:dyDescent="0.3">
      <c r="A160" s="35" t="s">
        <v>194</v>
      </c>
      <c r="B160" s="35">
        <v>232.3</v>
      </c>
    </row>
    <row r="161" spans="1:2" x14ac:dyDescent="0.3">
      <c r="A161" s="35" t="s">
        <v>195</v>
      </c>
      <c r="B161" s="35">
        <v>239</v>
      </c>
    </row>
    <row r="162" spans="1:2" x14ac:dyDescent="0.3">
      <c r="A162" s="35" t="s">
        <v>196</v>
      </c>
      <c r="B162" s="35"/>
    </row>
    <row r="163" spans="1:2" x14ac:dyDescent="0.3">
      <c r="A163" s="35" t="s">
        <v>197</v>
      </c>
      <c r="B163" s="35">
        <v>199</v>
      </c>
    </row>
    <row r="164" spans="1:2" x14ac:dyDescent="0.3">
      <c r="A164" s="35" t="s">
        <v>198</v>
      </c>
      <c r="B164" s="35">
        <v>349</v>
      </c>
    </row>
    <row r="165" spans="1:2" x14ac:dyDescent="0.3">
      <c r="A165" s="35" t="s">
        <v>199</v>
      </c>
      <c r="B165" s="35">
        <v>329</v>
      </c>
    </row>
    <row r="166" spans="1:2" x14ac:dyDescent="0.3">
      <c r="A166" s="35" t="s">
        <v>200</v>
      </c>
      <c r="B166" s="35">
        <v>299</v>
      </c>
    </row>
    <row r="167" spans="1:2" x14ac:dyDescent="0.3">
      <c r="A167" s="35" t="s">
        <v>201</v>
      </c>
      <c r="B167" s="35">
        <v>199</v>
      </c>
    </row>
    <row r="168" spans="1:2" x14ac:dyDescent="0.3">
      <c r="A168" s="35" t="s">
        <v>202</v>
      </c>
      <c r="B168" s="35">
        <v>299</v>
      </c>
    </row>
    <row r="169" spans="1:2" x14ac:dyDescent="0.3">
      <c r="A169" s="35" t="s">
        <v>203</v>
      </c>
      <c r="B169" s="35">
        <v>229</v>
      </c>
    </row>
    <row r="170" spans="1:2" x14ac:dyDescent="0.3">
      <c r="A170" s="35" t="s">
        <v>204</v>
      </c>
      <c r="B170" s="35">
        <v>149</v>
      </c>
    </row>
    <row r="171" spans="1:2" x14ac:dyDescent="0.3">
      <c r="A171" s="35" t="s">
        <v>205</v>
      </c>
      <c r="B171" s="35">
        <v>229</v>
      </c>
    </row>
    <row r="172" spans="1:2" x14ac:dyDescent="0.3">
      <c r="A172" s="35" t="s">
        <v>206</v>
      </c>
      <c r="B172" s="35">
        <v>109</v>
      </c>
    </row>
    <row r="173" spans="1:2" x14ac:dyDescent="0.3">
      <c r="A173" s="35" t="s">
        <v>207</v>
      </c>
      <c r="B173" s="35">
        <v>349</v>
      </c>
    </row>
    <row r="174" spans="1:2" x14ac:dyDescent="0.3">
      <c r="A174" s="35" t="s">
        <v>208</v>
      </c>
      <c r="B174" s="35">
        <v>429</v>
      </c>
    </row>
    <row r="175" spans="1:2" x14ac:dyDescent="0.3">
      <c r="A175" s="35" t="s">
        <v>209</v>
      </c>
      <c r="B175" s="35">
        <v>299</v>
      </c>
    </row>
    <row r="176" spans="1:2" x14ac:dyDescent="0.3">
      <c r="A176" s="35" t="s">
        <v>210</v>
      </c>
      <c r="B176" s="35">
        <v>249</v>
      </c>
    </row>
    <row r="177" spans="1:2" x14ac:dyDescent="0.3">
      <c r="A177" s="35" t="s">
        <v>211</v>
      </c>
      <c r="B177" s="35">
        <v>229</v>
      </c>
    </row>
    <row r="178" spans="1:2" x14ac:dyDescent="0.3">
      <c r="A178" s="35" t="s">
        <v>212</v>
      </c>
      <c r="B178" s="35">
        <v>329</v>
      </c>
    </row>
    <row r="179" spans="1:2" x14ac:dyDescent="0.3">
      <c r="A179" s="35" t="s">
        <v>213</v>
      </c>
      <c r="B179" s="35">
        <v>499</v>
      </c>
    </row>
    <row r="180" spans="1:2" x14ac:dyDescent="0.3">
      <c r="A180" s="35" t="s">
        <v>214</v>
      </c>
      <c r="B180" s="35">
        <v>249</v>
      </c>
    </row>
    <row r="181" spans="1:2" x14ac:dyDescent="0.3">
      <c r="A181" s="35" t="s">
        <v>215</v>
      </c>
      <c r="B181" s="35">
        <v>149</v>
      </c>
    </row>
    <row r="182" spans="1:2" x14ac:dyDescent="0.3">
      <c r="A182" s="35" t="s">
        <v>216</v>
      </c>
      <c r="B182" s="35">
        <v>129</v>
      </c>
    </row>
    <row r="183" spans="1:2" x14ac:dyDescent="0.3">
      <c r="A183" s="35" t="s">
        <v>217</v>
      </c>
      <c r="B183" s="35">
        <v>199</v>
      </c>
    </row>
    <row r="184" spans="1:2" x14ac:dyDescent="0.3">
      <c r="A184" s="35" t="s">
        <v>218</v>
      </c>
      <c r="B184" s="35">
        <v>299</v>
      </c>
    </row>
    <row r="185" spans="1:2" x14ac:dyDescent="0.3">
      <c r="A185" s="35" t="s">
        <v>219</v>
      </c>
      <c r="B185" s="35">
        <v>299</v>
      </c>
    </row>
    <row r="186" spans="1:2" x14ac:dyDescent="0.3">
      <c r="A186" s="35" t="s">
        <v>220</v>
      </c>
      <c r="B186" s="35">
        <v>349</v>
      </c>
    </row>
    <row r="187" spans="1:2" x14ac:dyDescent="0.3">
      <c r="A187" s="35" t="s">
        <v>221</v>
      </c>
      <c r="B187" s="35">
        <v>199</v>
      </c>
    </row>
    <row r="188" spans="1:2" x14ac:dyDescent="0.3">
      <c r="A188" s="35" t="s">
        <v>222</v>
      </c>
      <c r="B188" s="35">
        <v>249</v>
      </c>
    </row>
    <row r="189" spans="1:2" x14ac:dyDescent="0.3">
      <c r="A189" s="35" t="s">
        <v>223</v>
      </c>
      <c r="B189" s="35">
        <v>199</v>
      </c>
    </row>
    <row r="190" spans="1:2" x14ac:dyDescent="0.3">
      <c r="A190" s="35" t="s">
        <v>224</v>
      </c>
      <c r="B190" s="35">
        <v>269</v>
      </c>
    </row>
    <row r="191" spans="1:2" x14ac:dyDescent="0.3">
      <c r="A191" s="35" t="s">
        <v>225</v>
      </c>
      <c r="B191" s="35">
        <v>199</v>
      </c>
    </row>
    <row r="192" spans="1:2" x14ac:dyDescent="0.3">
      <c r="A192" s="35" t="s">
        <v>226</v>
      </c>
      <c r="B192" s="35">
        <v>149</v>
      </c>
    </row>
    <row r="193" spans="1:2" x14ac:dyDescent="0.3">
      <c r="A193" s="35" t="s">
        <v>227</v>
      </c>
      <c r="B193" s="35">
        <v>129</v>
      </c>
    </row>
    <row r="194" spans="1:2" x14ac:dyDescent="0.3">
      <c r="A194" s="35" t="s">
        <v>228</v>
      </c>
      <c r="B194" s="35">
        <v>169</v>
      </c>
    </row>
    <row r="195" spans="1:2" x14ac:dyDescent="0.3">
      <c r="A195" s="35" t="s">
        <v>229</v>
      </c>
      <c r="B195" s="35">
        <v>139</v>
      </c>
    </row>
    <row r="196" spans="1:2" x14ac:dyDescent="0.3">
      <c r="A196" s="35" t="s">
        <v>230</v>
      </c>
      <c r="B196" s="35">
        <v>109</v>
      </c>
    </row>
    <row r="197" spans="1:2" x14ac:dyDescent="0.3">
      <c r="A197" s="35" t="s">
        <v>231</v>
      </c>
      <c r="B197" s="35">
        <v>149</v>
      </c>
    </row>
    <row r="198" spans="1:2" x14ac:dyDescent="0.3">
      <c r="A198" s="35" t="s">
        <v>232</v>
      </c>
      <c r="B198" s="35">
        <v>199</v>
      </c>
    </row>
    <row r="199" spans="1:2" x14ac:dyDescent="0.3">
      <c r="A199" s="35" t="s">
        <v>233</v>
      </c>
      <c r="B199" s="35">
        <v>199</v>
      </c>
    </row>
    <row r="200" spans="1:2" x14ac:dyDescent="0.3">
      <c r="A200" s="35" t="s">
        <v>234</v>
      </c>
      <c r="B200" s="35">
        <v>129</v>
      </c>
    </row>
    <row r="201" spans="1:2" x14ac:dyDescent="0.3">
      <c r="A201" s="35" t="s">
        <v>235</v>
      </c>
      <c r="B201" s="35">
        <v>69</v>
      </c>
    </row>
    <row r="202" spans="1:2" x14ac:dyDescent="0.3">
      <c r="A202" s="35" t="s">
        <v>236</v>
      </c>
      <c r="B202" s="35">
        <v>149</v>
      </c>
    </row>
    <row r="203" spans="1:2" x14ac:dyDescent="0.3">
      <c r="A203" s="35" t="s">
        <v>237</v>
      </c>
      <c r="B203" s="35">
        <v>249</v>
      </c>
    </row>
    <row r="204" spans="1:2" x14ac:dyDescent="0.3">
      <c r="A204" s="35" t="s">
        <v>238</v>
      </c>
      <c r="B204" s="35">
        <v>199</v>
      </c>
    </row>
    <row r="205" spans="1:2" x14ac:dyDescent="0.3">
      <c r="A205" s="35" t="s">
        <v>239</v>
      </c>
      <c r="B205" s="35">
        <v>199</v>
      </c>
    </row>
    <row r="206" spans="1:2" x14ac:dyDescent="0.3">
      <c r="A206" s="35" t="s">
        <v>240</v>
      </c>
      <c r="B206" s="35">
        <v>249</v>
      </c>
    </row>
    <row r="207" spans="1:2" x14ac:dyDescent="0.3">
      <c r="A207" s="35" t="s">
        <v>241</v>
      </c>
      <c r="B207" s="35">
        <v>99</v>
      </c>
    </row>
    <row r="208" spans="1:2" x14ac:dyDescent="0.3">
      <c r="A208" s="35" t="s">
        <v>242</v>
      </c>
      <c r="B208" s="35">
        <v>149</v>
      </c>
    </row>
    <row r="209" spans="1:2" x14ac:dyDescent="0.3">
      <c r="A209" s="35" t="s">
        <v>243</v>
      </c>
      <c r="B209" s="35">
        <v>149</v>
      </c>
    </row>
    <row r="210" spans="1:2" x14ac:dyDescent="0.3">
      <c r="A210" s="35" t="s">
        <v>244</v>
      </c>
      <c r="B210" s="35">
        <v>299</v>
      </c>
    </row>
    <row r="211" spans="1:2" x14ac:dyDescent="0.3">
      <c r="A211" s="35" t="s">
        <v>245</v>
      </c>
      <c r="B211" s="35">
        <v>229</v>
      </c>
    </row>
    <row r="212" spans="1:2" x14ac:dyDescent="0.3">
      <c r="A212" s="35" t="s">
        <v>246</v>
      </c>
      <c r="B212" s="35">
        <v>199</v>
      </c>
    </row>
    <row r="213" spans="1:2" x14ac:dyDescent="0.3">
      <c r="A213" s="35" t="s">
        <v>247</v>
      </c>
      <c r="B213" s="35">
        <v>149</v>
      </c>
    </row>
    <row r="214" spans="1:2" x14ac:dyDescent="0.3">
      <c r="A214" s="35" t="s">
        <v>248</v>
      </c>
      <c r="B214" s="35">
        <v>129</v>
      </c>
    </row>
    <row r="215" spans="1:2" x14ac:dyDescent="0.3">
      <c r="A215" s="35" t="s">
        <v>249</v>
      </c>
      <c r="B215" s="35">
        <v>299</v>
      </c>
    </row>
    <row r="216" spans="1:2" x14ac:dyDescent="0.3">
      <c r="A216" s="35" t="s">
        <v>250</v>
      </c>
      <c r="B216" s="35">
        <v>149</v>
      </c>
    </row>
    <row r="217" spans="1:2" x14ac:dyDescent="0.3">
      <c r="A217" s="35" t="s">
        <v>251</v>
      </c>
      <c r="B217" s="35">
        <v>159</v>
      </c>
    </row>
    <row r="218" spans="1:2" x14ac:dyDescent="0.3">
      <c r="A218" s="35" t="s">
        <v>252</v>
      </c>
      <c r="B218" s="35">
        <v>149</v>
      </c>
    </row>
    <row r="219" spans="1:2" x14ac:dyDescent="0.3">
      <c r="A219" s="35" t="s">
        <v>253</v>
      </c>
      <c r="B219" s="35">
        <v>99</v>
      </c>
    </row>
    <row r="220" spans="1:2" x14ac:dyDescent="0.3">
      <c r="A220" s="35" t="s">
        <v>254</v>
      </c>
      <c r="B220" s="35">
        <v>169</v>
      </c>
    </row>
    <row r="221" spans="1:2" x14ac:dyDescent="0.3">
      <c r="A221" s="35" t="s">
        <v>255</v>
      </c>
      <c r="B221" s="35">
        <v>199</v>
      </c>
    </row>
    <row r="222" spans="1:2" x14ac:dyDescent="0.3">
      <c r="A222" s="35" t="s">
        <v>256</v>
      </c>
      <c r="B222" s="35">
        <v>329</v>
      </c>
    </row>
    <row r="223" spans="1:2" x14ac:dyDescent="0.3">
      <c r="A223" s="35" t="s">
        <v>257</v>
      </c>
      <c r="B223" s="35">
        <v>349</v>
      </c>
    </row>
    <row r="224" spans="1:2" x14ac:dyDescent="0.3">
      <c r="A224" s="35" t="s">
        <v>258</v>
      </c>
      <c r="B224" s="35">
        <v>229</v>
      </c>
    </row>
    <row r="225" spans="1:2" x14ac:dyDescent="0.3">
      <c r="A225" s="35" t="s">
        <v>259</v>
      </c>
      <c r="B225" s="35">
        <v>299</v>
      </c>
    </row>
    <row r="226" spans="1:2" x14ac:dyDescent="0.3">
      <c r="A226" s="35" t="s">
        <v>260</v>
      </c>
      <c r="B226" s="35">
        <v>149</v>
      </c>
    </row>
    <row r="227" spans="1:2" x14ac:dyDescent="0.3">
      <c r="A227" s="35" t="s">
        <v>261</v>
      </c>
      <c r="B227" s="35">
        <v>229</v>
      </c>
    </row>
    <row r="228" spans="1:2" x14ac:dyDescent="0.3">
      <c r="A228" s="35" t="s">
        <v>262</v>
      </c>
      <c r="B228" s="35">
        <v>229</v>
      </c>
    </row>
    <row r="229" spans="1:2" x14ac:dyDescent="0.3">
      <c r="A229" s="35" t="s">
        <v>263</v>
      </c>
      <c r="B229" s="35">
        <v>299</v>
      </c>
    </row>
    <row r="230" spans="1:2" x14ac:dyDescent="0.3">
      <c r="A230" s="35" t="s">
        <v>264</v>
      </c>
      <c r="B230" s="35">
        <v>299</v>
      </c>
    </row>
    <row r="231" spans="1:2" x14ac:dyDescent="0.3">
      <c r="A231" s="35" t="s">
        <v>265</v>
      </c>
      <c r="B231" s="35">
        <v>129</v>
      </c>
    </row>
    <row r="232" spans="1:2" x14ac:dyDescent="0.3">
      <c r="A232" s="35" t="s">
        <v>266</v>
      </c>
      <c r="B232" s="35">
        <v>129</v>
      </c>
    </row>
    <row r="233" spans="1:2" x14ac:dyDescent="0.3">
      <c r="A233" s="35" t="s">
        <v>267</v>
      </c>
      <c r="B233" s="35">
        <v>129</v>
      </c>
    </row>
    <row r="234" spans="1:2" x14ac:dyDescent="0.3">
      <c r="A234" s="35" t="s">
        <v>268</v>
      </c>
      <c r="B234" s="35">
        <v>299</v>
      </c>
    </row>
    <row r="235" spans="1:2" x14ac:dyDescent="0.3">
      <c r="A235" s="35" t="s">
        <v>269</v>
      </c>
      <c r="B235" s="35">
        <v>229</v>
      </c>
    </row>
    <row r="236" spans="1:2" x14ac:dyDescent="0.3">
      <c r="A236" s="35" t="s">
        <v>270</v>
      </c>
      <c r="B236" s="35">
        <v>299</v>
      </c>
    </row>
    <row r="237" spans="1:2" x14ac:dyDescent="0.3">
      <c r="A237" s="35" t="s">
        <v>271</v>
      </c>
      <c r="B237" s="35">
        <v>229</v>
      </c>
    </row>
    <row r="238" spans="1:2" x14ac:dyDescent="0.3">
      <c r="A238" s="35" t="s">
        <v>272</v>
      </c>
      <c r="B238" s="35">
        <v>249</v>
      </c>
    </row>
    <row r="239" spans="1:2" x14ac:dyDescent="0.3">
      <c r="A239" s="35" t="s">
        <v>273</v>
      </c>
      <c r="B239" s="35">
        <v>399</v>
      </c>
    </row>
    <row r="240" spans="1:2" x14ac:dyDescent="0.3">
      <c r="A240" s="35" t="s">
        <v>274</v>
      </c>
      <c r="B240" s="35">
        <v>229</v>
      </c>
    </row>
    <row r="241" spans="1:2" x14ac:dyDescent="0.3">
      <c r="A241" s="35" t="s">
        <v>275</v>
      </c>
      <c r="B241" s="35">
        <v>349</v>
      </c>
    </row>
    <row r="242" spans="1:2" x14ac:dyDescent="0.3">
      <c r="A242" s="35" t="s">
        <v>276</v>
      </c>
      <c r="B242" s="35">
        <v>199</v>
      </c>
    </row>
    <row r="243" spans="1:2" x14ac:dyDescent="0.3">
      <c r="A243" s="35" t="s">
        <v>277</v>
      </c>
      <c r="B243" s="35">
        <v>169</v>
      </c>
    </row>
    <row r="244" spans="1:2" x14ac:dyDescent="0.3">
      <c r="A244" s="35" t="s">
        <v>278</v>
      </c>
      <c r="B244" s="35">
        <v>349</v>
      </c>
    </row>
    <row r="245" spans="1:2" x14ac:dyDescent="0.3">
      <c r="A245" s="35" t="s">
        <v>279</v>
      </c>
      <c r="B245" s="35">
        <v>349</v>
      </c>
    </row>
    <row r="246" spans="1:2" x14ac:dyDescent="0.3">
      <c r="A246" s="35" t="s">
        <v>280</v>
      </c>
      <c r="B246" s="35">
        <v>329</v>
      </c>
    </row>
    <row r="247" spans="1:2" x14ac:dyDescent="0.3">
      <c r="A247" s="35" t="s">
        <v>281</v>
      </c>
      <c r="B247" s="35">
        <v>229</v>
      </c>
    </row>
    <row r="248" spans="1:2" x14ac:dyDescent="0.3">
      <c r="A248" s="35" t="s">
        <v>282</v>
      </c>
      <c r="B248" s="35">
        <v>199</v>
      </c>
    </row>
    <row r="249" spans="1:2" x14ac:dyDescent="0.3">
      <c r="A249" s="35" t="s">
        <v>283</v>
      </c>
      <c r="B249" s="35">
        <v>249</v>
      </c>
    </row>
    <row r="250" spans="1:2" x14ac:dyDescent="0.3">
      <c r="A250" s="35" t="s">
        <v>284</v>
      </c>
      <c r="B250" s="35">
        <v>249</v>
      </c>
    </row>
    <row r="251" spans="1:2" x14ac:dyDescent="0.3">
      <c r="A251" s="35" t="s">
        <v>285</v>
      </c>
      <c r="B251" s="35">
        <v>349</v>
      </c>
    </row>
    <row r="252" spans="1:2" x14ac:dyDescent="0.3">
      <c r="A252" s="35" t="s">
        <v>286</v>
      </c>
      <c r="B252" s="35">
        <v>169</v>
      </c>
    </row>
    <row r="253" spans="1:2" x14ac:dyDescent="0.3">
      <c r="A253" s="35" t="s">
        <v>287</v>
      </c>
      <c r="B253" s="35">
        <v>349</v>
      </c>
    </row>
    <row r="254" spans="1:2" x14ac:dyDescent="0.3">
      <c r="A254" s="35" t="s">
        <v>288</v>
      </c>
      <c r="B254" s="35">
        <v>299</v>
      </c>
    </row>
    <row r="255" spans="1:2" x14ac:dyDescent="0.3">
      <c r="A255" s="35" t="s">
        <v>289</v>
      </c>
      <c r="B255" s="35">
        <v>429</v>
      </c>
    </row>
    <row r="256" spans="1:2" x14ac:dyDescent="0.3">
      <c r="A256" s="35" t="s">
        <v>290</v>
      </c>
      <c r="B256" s="35">
        <v>399</v>
      </c>
    </row>
    <row r="257" spans="1:2" x14ac:dyDescent="0.3">
      <c r="A257" s="35" t="s">
        <v>291</v>
      </c>
      <c r="B257" s="35">
        <v>349</v>
      </c>
    </row>
    <row r="258" spans="1:2" x14ac:dyDescent="0.3">
      <c r="A258" s="35" t="s">
        <v>292</v>
      </c>
      <c r="B258" s="35">
        <v>399</v>
      </c>
    </row>
    <row r="259" spans="1:2" x14ac:dyDescent="0.3">
      <c r="A259" s="35" t="s">
        <v>293</v>
      </c>
      <c r="B259" s="35">
        <v>349</v>
      </c>
    </row>
    <row r="260" spans="1:2" x14ac:dyDescent="0.3">
      <c r="A260" s="35" t="s">
        <v>294</v>
      </c>
      <c r="B260" s="35">
        <v>329</v>
      </c>
    </row>
    <row r="261" spans="1:2" x14ac:dyDescent="0.3">
      <c r="A261" s="35" t="s">
        <v>295</v>
      </c>
      <c r="B261" s="35">
        <v>349</v>
      </c>
    </row>
    <row r="262" spans="1:2" x14ac:dyDescent="0.3">
      <c r="A262" s="35" t="s">
        <v>296</v>
      </c>
      <c r="B262" s="35">
        <v>149</v>
      </c>
    </row>
    <row r="263" spans="1:2" x14ac:dyDescent="0.3">
      <c r="A263" s="35" t="s">
        <v>297</v>
      </c>
      <c r="B263" s="35">
        <v>149</v>
      </c>
    </row>
    <row r="264" spans="1:2" x14ac:dyDescent="0.3">
      <c r="A264" s="35" t="s">
        <v>298</v>
      </c>
      <c r="B264" s="35">
        <v>99</v>
      </c>
    </row>
    <row r="265" spans="1:2" x14ac:dyDescent="0.3">
      <c r="A265" s="35" t="s">
        <v>299</v>
      </c>
      <c r="B265" s="35">
        <v>299</v>
      </c>
    </row>
    <row r="266" spans="1:2" x14ac:dyDescent="0.3">
      <c r="A266" s="35" t="s">
        <v>300</v>
      </c>
      <c r="B266" s="35">
        <v>249</v>
      </c>
    </row>
    <row r="267" spans="1:2" x14ac:dyDescent="0.3">
      <c r="A267" s="35" t="s">
        <v>301</v>
      </c>
      <c r="B267" s="35">
        <v>799</v>
      </c>
    </row>
    <row r="268" spans="1:2" x14ac:dyDescent="0.3">
      <c r="A268" s="35" t="s">
        <v>302</v>
      </c>
      <c r="B268" s="35">
        <v>229</v>
      </c>
    </row>
    <row r="269" spans="1:2" x14ac:dyDescent="0.3">
      <c r="A269" s="35" t="s">
        <v>303</v>
      </c>
      <c r="B269" s="35">
        <v>199</v>
      </c>
    </row>
    <row r="270" spans="1:2" x14ac:dyDescent="0.3">
      <c r="A270" s="35" t="s">
        <v>304</v>
      </c>
      <c r="B270" s="35">
        <v>299</v>
      </c>
    </row>
    <row r="271" spans="1:2" x14ac:dyDescent="0.3">
      <c r="A271" s="35" t="s">
        <v>305</v>
      </c>
      <c r="B271" s="35">
        <v>199</v>
      </c>
    </row>
    <row r="272" spans="1:2" x14ac:dyDescent="0.3">
      <c r="A272" s="35" t="s">
        <v>306</v>
      </c>
      <c r="B272" s="35">
        <v>229</v>
      </c>
    </row>
    <row r="273" spans="1:2" x14ac:dyDescent="0.3">
      <c r="A273" s="35" t="s">
        <v>307</v>
      </c>
      <c r="B273" s="35">
        <v>199</v>
      </c>
    </row>
    <row r="274" spans="1:2" x14ac:dyDescent="0.3">
      <c r="A274" s="35" t="s">
        <v>308</v>
      </c>
      <c r="B274" s="35">
        <v>199</v>
      </c>
    </row>
    <row r="275" spans="1:2" x14ac:dyDescent="0.3">
      <c r="A275" s="35" t="s">
        <v>309</v>
      </c>
      <c r="B275" s="35">
        <v>299</v>
      </c>
    </row>
    <row r="276" spans="1:2" x14ac:dyDescent="0.3">
      <c r="A276" s="35" t="s">
        <v>310</v>
      </c>
      <c r="B276" s="35">
        <v>299</v>
      </c>
    </row>
    <row r="277" spans="1:2" x14ac:dyDescent="0.3">
      <c r="A277" s="35" t="s">
        <v>311</v>
      </c>
      <c r="B277" s="35">
        <v>249</v>
      </c>
    </row>
    <row r="278" spans="1:2" x14ac:dyDescent="0.3">
      <c r="A278" s="35" t="s">
        <v>312</v>
      </c>
      <c r="B278" s="35"/>
    </row>
    <row r="279" spans="1:2" x14ac:dyDescent="0.3">
      <c r="A279" s="35" t="s">
        <v>313</v>
      </c>
      <c r="B279" s="35">
        <v>199</v>
      </c>
    </row>
    <row r="280" spans="1:2" x14ac:dyDescent="0.3">
      <c r="A280" s="35" t="s">
        <v>314</v>
      </c>
      <c r="B280" s="35">
        <v>169</v>
      </c>
    </row>
    <row r="281" spans="1:2" x14ac:dyDescent="0.3">
      <c r="A281" s="35" t="s">
        <v>315</v>
      </c>
      <c r="B281" s="35">
        <v>249</v>
      </c>
    </row>
    <row r="282" spans="1:2" x14ac:dyDescent="0.3">
      <c r="A282" s="35" t="s">
        <v>316</v>
      </c>
      <c r="B282" s="35">
        <v>249</v>
      </c>
    </row>
    <row r="283" spans="1:2" x14ac:dyDescent="0.3">
      <c r="A283" s="35" t="s">
        <v>317</v>
      </c>
      <c r="B283" s="35">
        <v>149</v>
      </c>
    </row>
    <row r="284" spans="1:2" x14ac:dyDescent="0.3">
      <c r="A284" s="35" t="s">
        <v>318</v>
      </c>
      <c r="B284" s="35">
        <v>129</v>
      </c>
    </row>
    <row r="285" spans="1:2" x14ac:dyDescent="0.3">
      <c r="A285" s="35" t="s">
        <v>319</v>
      </c>
      <c r="B285" s="35">
        <v>99</v>
      </c>
    </row>
    <row r="286" spans="1:2" x14ac:dyDescent="0.3">
      <c r="A286" s="35" t="s">
        <v>320</v>
      </c>
      <c r="B286" s="35">
        <v>129</v>
      </c>
    </row>
    <row r="287" spans="1:2" x14ac:dyDescent="0.3">
      <c r="A287" s="35" t="s">
        <v>321</v>
      </c>
      <c r="B287" s="35">
        <v>299</v>
      </c>
    </row>
    <row r="288" spans="1:2" x14ac:dyDescent="0.3">
      <c r="A288" s="35" t="s">
        <v>322</v>
      </c>
      <c r="B288" s="35">
        <v>199</v>
      </c>
    </row>
    <row r="289" spans="1:2" x14ac:dyDescent="0.3">
      <c r="A289" s="35" t="s">
        <v>323</v>
      </c>
      <c r="B289" s="35">
        <v>149</v>
      </c>
    </row>
    <row r="290" spans="1:2" x14ac:dyDescent="0.3">
      <c r="A290" s="35" t="s">
        <v>324</v>
      </c>
      <c r="B290" s="35">
        <v>159</v>
      </c>
    </row>
    <row r="291" spans="1:2" x14ac:dyDescent="0.3">
      <c r="A291" s="35" t="s">
        <v>325</v>
      </c>
      <c r="B291" s="35">
        <v>99</v>
      </c>
    </row>
    <row r="292" spans="1:2" x14ac:dyDescent="0.3">
      <c r="A292" s="35" t="s">
        <v>326</v>
      </c>
      <c r="B292" s="35">
        <v>139</v>
      </c>
    </row>
    <row r="293" spans="1:2" x14ac:dyDescent="0.3">
      <c r="A293" s="35" t="s">
        <v>327</v>
      </c>
      <c r="B293" s="35">
        <v>99</v>
      </c>
    </row>
    <row r="294" spans="1:2" x14ac:dyDescent="0.3">
      <c r="A294" s="35" t="s">
        <v>328</v>
      </c>
      <c r="B294" s="35">
        <v>179</v>
      </c>
    </row>
    <row r="295" spans="1:2" x14ac:dyDescent="0.3">
      <c r="A295" s="35" t="s">
        <v>329</v>
      </c>
      <c r="B295" s="35">
        <v>199</v>
      </c>
    </row>
    <row r="296" spans="1:2" x14ac:dyDescent="0.3">
      <c r="A296" s="35" t="s">
        <v>330</v>
      </c>
      <c r="B296" s="35">
        <v>149</v>
      </c>
    </row>
    <row r="297" spans="1:2" x14ac:dyDescent="0.3">
      <c r="A297" s="35" t="s">
        <v>331</v>
      </c>
      <c r="B297" s="35">
        <v>249</v>
      </c>
    </row>
    <row r="298" spans="1:2" x14ac:dyDescent="0.3">
      <c r="A298" s="35" t="s">
        <v>456</v>
      </c>
      <c r="B298" s="35">
        <v>299</v>
      </c>
    </row>
    <row r="299" spans="1:2" x14ac:dyDescent="0.3">
      <c r="A299" s="35" t="s">
        <v>457</v>
      </c>
      <c r="B299" s="35">
        <v>199</v>
      </c>
    </row>
    <row r="300" spans="1:2" x14ac:dyDescent="0.3">
      <c r="A300" s="35" t="s">
        <v>458</v>
      </c>
      <c r="B300" s="35">
        <v>499</v>
      </c>
    </row>
    <row r="301" spans="1:2" x14ac:dyDescent="0.3">
      <c r="A301" s="35" t="s">
        <v>459</v>
      </c>
      <c r="B301" s="35">
        <v>399</v>
      </c>
    </row>
    <row r="302" spans="1:2" x14ac:dyDescent="0.3">
      <c r="A302" s="35" t="s">
        <v>460</v>
      </c>
      <c r="B302" s="35">
        <v>149</v>
      </c>
    </row>
    <row r="303" spans="1:2" x14ac:dyDescent="0.3">
      <c r="A303" s="35" t="s">
        <v>461</v>
      </c>
      <c r="B303" s="35">
        <v>299</v>
      </c>
    </row>
    <row r="304" spans="1:2" x14ac:dyDescent="0.3">
      <c r="A304" s="35" t="s">
        <v>462</v>
      </c>
      <c r="B304" s="35">
        <v>149</v>
      </c>
    </row>
    <row r="305" spans="1:2" x14ac:dyDescent="0.3">
      <c r="A305" s="35" t="s">
        <v>463</v>
      </c>
      <c r="B305" s="35">
        <v>199</v>
      </c>
    </row>
    <row r="306" spans="1:2" x14ac:dyDescent="0.3">
      <c r="A306" s="35" t="s">
        <v>464</v>
      </c>
      <c r="B306" s="35">
        <v>249</v>
      </c>
    </row>
    <row r="307" spans="1:2" x14ac:dyDescent="0.3">
      <c r="A307" s="35" t="s">
        <v>465</v>
      </c>
      <c r="B307" s="35">
        <v>249</v>
      </c>
    </row>
    <row r="308" spans="1:2" x14ac:dyDescent="0.3">
      <c r="A308" s="35" t="s">
        <v>466</v>
      </c>
      <c r="B308" s="35">
        <v>149</v>
      </c>
    </row>
    <row r="309" spans="1:2" x14ac:dyDescent="0.3">
      <c r="A309" s="35" t="s">
        <v>467</v>
      </c>
      <c r="B309" s="35">
        <v>299</v>
      </c>
    </row>
    <row r="310" spans="1:2" x14ac:dyDescent="0.3">
      <c r="A310" s="35" t="s">
        <v>468</v>
      </c>
      <c r="B310" s="35">
        <v>199</v>
      </c>
    </row>
    <row r="311" spans="1:2" x14ac:dyDescent="0.3">
      <c r="A311" s="35" t="s">
        <v>469</v>
      </c>
      <c r="B311" s="35">
        <v>299</v>
      </c>
    </row>
    <row r="312" spans="1:2" x14ac:dyDescent="0.3">
      <c r="A312" s="35" t="s">
        <v>470</v>
      </c>
      <c r="B312" s="35">
        <v>229</v>
      </c>
    </row>
    <row r="313" spans="1:2" x14ac:dyDescent="0.3">
      <c r="A313" s="35" t="s">
        <v>471</v>
      </c>
      <c r="B313" s="35">
        <v>149</v>
      </c>
    </row>
    <row r="314" spans="1:2" x14ac:dyDescent="0.3">
      <c r="A314" s="35" t="s">
        <v>472</v>
      </c>
      <c r="B314" s="35">
        <v>129</v>
      </c>
    </row>
    <row r="315" spans="1:2" x14ac:dyDescent="0.3">
      <c r="A315" s="35" t="s">
        <v>473</v>
      </c>
      <c r="B315" s="35">
        <v>109</v>
      </c>
    </row>
    <row r="316" spans="1:2" x14ac:dyDescent="0.3">
      <c r="A316" s="35" t="s">
        <v>474</v>
      </c>
      <c r="B316" s="35">
        <v>229</v>
      </c>
    </row>
    <row r="317" spans="1:2" x14ac:dyDescent="0.3">
      <c r="A317" s="35" t="s">
        <v>475</v>
      </c>
      <c r="B317" s="35">
        <v>249</v>
      </c>
    </row>
    <row r="318" spans="1:2" x14ac:dyDescent="0.3">
      <c r="A318" s="35" t="s">
        <v>476</v>
      </c>
      <c r="B318" s="35">
        <v>129</v>
      </c>
    </row>
    <row r="319" spans="1:2" x14ac:dyDescent="0.3">
      <c r="A319" s="35" t="s">
        <v>477</v>
      </c>
      <c r="B319" s="35">
        <v>129</v>
      </c>
    </row>
    <row r="320" spans="1:2" x14ac:dyDescent="0.3">
      <c r="A320" s="35" t="s">
        <v>478</v>
      </c>
      <c r="B320" s="35">
        <v>179</v>
      </c>
    </row>
    <row r="321" spans="1:2" x14ac:dyDescent="0.3">
      <c r="A321" s="35" t="s">
        <v>479</v>
      </c>
      <c r="B321" s="35">
        <v>149</v>
      </c>
    </row>
    <row r="322" spans="1:2" x14ac:dyDescent="0.3">
      <c r="A322" s="35" t="s">
        <v>480</v>
      </c>
      <c r="B322" s="35">
        <v>179</v>
      </c>
    </row>
    <row r="323" spans="1:2" x14ac:dyDescent="0.3">
      <c r="A323" s="35" t="s">
        <v>481</v>
      </c>
      <c r="B323" s="35">
        <v>99</v>
      </c>
    </row>
    <row r="324" spans="1:2" x14ac:dyDescent="0.3">
      <c r="A324" s="35" t="s">
        <v>482</v>
      </c>
      <c r="B324" s="35">
        <v>249</v>
      </c>
    </row>
    <row r="325" spans="1:2" x14ac:dyDescent="0.3">
      <c r="A325" s="35" t="s">
        <v>483</v>
      </c>
      <c r="B325" s="35">
        <v>149</v>
      </c>
    </row>
    <row r="326" spans="1:2" x14ac:dyDescent="0.3">
      <c r="A326" s="35" t="s">
        <v>484</v>
      </c>
      <c r="B326" s="35">
        <v>149</v>
      </c>
    </row>
    <row r="327" spans="1:2" x14ac:dyDescent="0.3">
      <c r="A327" s="35" t="s">
        <v>485</v>
      </c>
      <c r="B327" s="35">
        <v>399</v>
      </c>
    </row>
    <row r="328" spans="1:2" x14ac:dyDescent="0.3">
      <c r="A328" s="35" t="s">
        <v>486</v>
      </c>
      <c r="B328" s="35">
        <v>129</v>
      </c>
    </row>
    <row r="329" spans="1:2" x14ac:dyDescent="0.3">
      <c r="A329" s="35" t="s">
        <v>487</v>
      </c>
      <c r="B329" s="35">
        <v>109</v>
      </c>
    </row>
    <row r="330" spans="1:2" x14ac:dyDescent="0.3">
      <c r="A330" s="35" t="s">
        <v>488</v>
      </c>
      <c r="B330" s="35">
        <v>149</v>
      </c>
    </row>
    <row r="331" spans="1:2" x14ac:dyDescent="0.3">
      <c r="A331" s="35" t="s">
        <v>593</v>
      </c>
      <c r="B331" s="35">
        <v>199</v>
      </c>
    </row>
    <row r="332" spans="1:2" x14ac:dyDescent="0.3">
      <c r="A332" s="35" t="s">
        <v>594</v>
      </c>
      <c r="B332" s="35">
        <v>149</v>
      </c>
    </row>
    <row r="333" spans="1:2" x14ac:dyDescent="0.3">
      <c r="A333" s="35" t="s">
        <v>595</v>
      </c>
      <c r="B333" s="35">
        <v>199</v>
      </c>
    </row>
    <row r="334" spans="1:2" x14ac:dyDescent="0.3">
      <c r="A334" s="35" t="s">
        <v>596</v>
      </c>
      <c r="B334" s="35">
        <v>349</v>
      </c>
    </row>
    <row r="335" spans="1:2" x14ac:dyDescent="0.3">
      <c r="A335" s="35" t="s">
        <v>597</v>
      </c>
      <c r="B335" s="35">
        <v>249</v>
      </c>
    </row>
    <row r="336" spans="1:2" x14ac:dyDescent="0.3">
      <c r="A336" s="35" t="s">
        <v>598</v>
      </c>
      <c r="B336" s="35">
        <v>229</v>
      </c>
    </row>
    <row r="337" spans="1:2" x14ac:dyDescent="0.3">
      <c r="A337" s="35" t="s">
        <v>599</v>
      </c>
      <c r="B337" s="35">
        <v>299</v>
      </c>
    </row>
    <row r="338" spans="1:2" x14ac:dyDescent="0.3">
      <c r="A338" s="35" t="s">
        <v>948</v>
      </c>
      <c r="B338" s="35">
        <v>20</v>
      </c>
    </row>
    <row r="339" spans="1:2" x14ac:dyDescent="0.3">
      <c r="A339" s="35" t="s">
        <v>949</v>
      </c>
      <c r="B339" s="35">
        <v>30</v>
      </c>
    </row>
    <row r="340" spans="1:2" x14ac:dyDescent="0.3">
      <c r="A340" s="35" t="s">
        <v>950</v>
      </c>
      <c r="B340" s="35">
        <v>50</v>
      </c>
    </row>
    <row r="341" spans="1:2" x14ac:dyDescent="0.3">
      <c r="A341" s="35" t="s">
        <v>600</v>
      </c>
      <c r="B341" s="35">
        <v>299</v>
      </c>
    </row>
    <row r="342" spans="1:2" x14ac:dyDescent="0.3">
      <c r="A342" s="35" t="s">
        <v>601</v>
      </c>
      <c r="B342" s="35">
        <v>179</v>
      </c>
    </row>
    <row r="343" spans="1:2" x14ac:dyDescent="0.3">
      <c r="A343" s="35" t="s">
        <v>602</v>
      </c>
      <c r="B343" s="35">
        <v>249</v>
      </c>
    </row>
    <row r="344" spans="1:2" x14ac:dyDescent="0.3">
      <c r="A344" s="35" t="s">
        <v>603</v>
      </c>
      <c r="B344" s="35">
        <v>349</v>
      </c>
    </row>
    <row r="345" spans="1:2" x14ac:dyDescent="0.3">
      <c r="A345" s="35" t="s">
        <v>604</v>
      </c>
      <c r="B345" s="35">
        <v>299</v>
      </c>
    </row>
    <row r="346" spans="1:2" x14ac:dyDescent="0.3">
      <c r="A346" s="35" t="s">
        <v>605</v>
      </c>
      <c r="B346" s="35">
        <v>169</v>
      </c>
    </row>
    <row r="347" spans="1:2" x14ac:dyDescent="0.3">
      <c r="A347" s="35" t="s">
        <v>606</v>
      </c>
      <c r="B347" s="35">
        <v>149</v>
      </c>
    </row>
    <row r="348" spans="1:2" x14ac:dyDescent="0.3">
      <c r="A348" s="35" t="s">
        <v>607</v>
      </c>
      <c r="B348" s="35">
        <v>499</v>
      </c>
    </row>
    <row r="349" spans="1:2" x14ac:dyDescent="0.3">
      <c r="A349" s="35" t="s">
        <v>608</v>
      </c>
      <c r="B349" s="35">
        <v>149</v>
      </c>
    </row>
    <row r="350" spans="1:2" x14ac:dyDescent="0.3">
      <c r="A350" s="35" t="s">
        <v>609</v>
      </c>
      <c r="B350" s="35">
        <v>199</v>
      </c>
    </row>
    <row r="351" spans="1:2" x14ac:dyDescent="0.3">
      <c r="A351" s="35" t="s">
        <v>610</v>
      </c>
      <c r="B351" s="35">
        <v>99</v>
      </c>
    </row>
    <row r="352" spans="1:2" x14ac:dyDescent="0.3">
      <c r="A352" s="35" t="s">
        <v>611</v>
      </c>
      <c r="B352" s="35">
        <v>129</v>
      </c>
    </row>
    <row r="353" spans="1:2" x14ac:dyDescent="0.3">
      <c r="A353" s="35" t="s">
        <v>612</v>
      </c>
      <c r="B353" s="35">
        <v>99</v>
      </c>
    </row>
    <row r="354" spans="1:2" x14ac:dyDescent="0.3">
      <c r="A354" s="35" t="s">
        <v>613</v>
      </c>
      <c r="B354" s="35">
        <v>149</v>
      </c>
    </row>
    <row r="355" spans="1:2" x14ac:dyDescent="0.3">
      <c r="A355" s="35" t="s">
        <v>614</v>
      </c>
      <c r="B355" s="35">
        <v>149</v>
      </c>
    </row>
    <row r="356" spans="1:2" x14ac:dyDescent="0.3">
      <c r="A356" s="35" t="s">
        <v>615</v>
      </c>
      <c r="B356" s="35">
        <v>229</v>
      </c>
    </row>
    <row r="357" spans="1:2" x14ac:dyDescent="0.3">
      <c r="A357" s="35" t="s">
        <v>616</v>
      </c>
      <c r="B357" s="35">
        <v>499</v>
      </c>
    </row>
    <row r="358" spans="1:2" x14ac:dyDescent="0.3">
      <c r="A358" s="35" t="s">
        <v>617</v>
      </c>
      <c r="B358" s="35">
        <v>349</v>
      </c>
    </row>
    <row r="359" spans="1:2" x14ac:dyDescent="0.3">
      <c r="A359" s="35" t="s">
        <v>618</v>
      </c>
      <c r="B359" s="35">
        <v>199</v>
      </c>
    </row>
    <row r="360" spans="1:2" x14ac:dyDescent="0.3">
      <c r="A360" s="35" t="s">
        <v>619</v>
      </c>
      <c r="B360" s="35">
        <v>259</v>
      </c>
    </row>
    <row r="361" spans="1:2" x14ac:dyDescent="0.3">
      <c r="A361" s="35" t="s">
        <v>620</v>
      </c>
      <c r="B361" s="35">
        <v>399</v>
      </c>
    </row>
    <row r="362" spans="1:2" x14ac:dyDescent="0.3">
      <c r="A362" s="35" t="s">
        <v>621</v>
      </c>
      <c r="B362" s="35">
        <v>199</v>
      </c>
    </row>
    <row r="363" spans="1:2" x14ac:dyDescent="0.3">
      <c r="A363" s="35" t="s">
        <v>622</v>
      </c>
      <c r="B363" s="35">
        <v>229</v>
      </c>
    </row>
    <row r="364" spans="1:2" x14ac:dyDescent="0.3">
      <c r="A364" s="35" t="s">
        <v>623</v>
      </c>
      <c r="B364" s="35">
        <v>179</v>
      </c>
    </row>
    <row r="365" spans="1:2" x14ac:dyDescent="0.3">
      <c r="A365" s="35" t="s">
        <v>624</v>
      </c>
      <c r="B365" s="35">
        <v>399</v>
      </c>
    </row>
    <row r="366" spans="1:2" x14ac:dyDescent="0.3">
      <c r="A366" s="35" t="s">
        <v>625</v>
      </c>
      <c r="B366" s="35">
        <v>299</v>
      </c>
    </row>
    <row r="367" spans="1:2" x14ac:dyDescent="0.3">
      <c r="A367" s="35" t="s">
        <v>626</v>
      </c>
      <c r="B367" s="35">
        <v>149</v>
      </c>
    </row>
    <row r="368" spans="1:2" x14ac:dyDescent="0.3">
      <c r="A368" s="35" t="s">
        <v>627</v>
      </c>
      <c r="B368" s="35">
        <v>429</v>
      </c>
    </row>
    <row r="369" spans="1:2" x14ac:dyDescent="0.3">
      <c r="A369" s="35" t="s">
        <v>628</v>
      </c>
      <c r="B369" s="35">
        <v>429</v>
      </c>
    </row>
    <row r="370" spans="1:2" x14ac:dyDescent="0.3">
      <c r="A370" s="35" t="s">
        <v>629</v>
      </c>
      <c r="B370" s="35">
        <v>299</v>
      </c>
    </row>
    <row r="371" spans="1:2" x14ac:dyDescent="0.3">
      <c r="A371" s="35" t="s">
        <v>630</v>
      </c>
      <c r="B371" s="35">
        <v>429</v>
      </c>
    </row>
    <row r="372" spans="1:2" x14ac:dyDescent="0.3">
      <c r="A372" s="35" t="s">
        <v>631</v>
      </c>
      <c r="B372" s="35">
        <v>299</v>
      </c>
    </row>
    <row r="373" spans="1:2" x14ac:dyDescent="0.3">
      <c r="A373" s="35" t="s">
        <v>632</v>
      </c>
      <c r="B373" s="35">
        <v>229</v>
      </c>
    </row>
    <row r="374" spans="1:2" x14ac:dyDescent="0.3">
      <c r="A374" s="35" t="s">
        <v>633</v>
      </c>
      <c r="B374" s="35">
        <v>229</v>
      </c>
    </row>
    <row r="375" spans="1:2" x14ac:dyDescent="0.3">
      <c r="A375" s="35" t="s">
        <v>634</v>
      </c>
      <c r="B375" s="35">
        <v>199</v>
      </c>
    </row>
    <row r="376" spans="1:2" x14ac:dyDescent="0.3">
      <c r="A376" s="35" t="s">
        <v>635</v>
      </c>
      <c r="B376" s="35">
        <v>399</v>
      </c>
    </row>
    <row r="377" spans="1:2" x14ac:dyDescent="0.3">
      <c r="A377" s="35" t="s">
        <v>636</v>
      </c>
      <c r="B377" s="35">
        <v>349</v>
      </c>
    </row>
    <row r="378" spans="1:2" x14ac:dyDescent="0.3">
      <c r="A378" s="35" t="s">
        <v>637</v>
      </c>
      <c r="B378" s="35">
        <v>399</v>
      </c>
    </row>
    <row r="379" spans="1:2" x14ac:dyDescent="0.3">
      <c r="A379" s="35" t="s">
        <v>638</v>
      </c>
      <c r="B379" s="35">
        <v>299</v>
      </c>
    </row>
    <row r="380" spans="1:2" x14ac:dyDescent="0.3">
      <c r="A380" s="35" t="s">
        <v>639</v>
      </c>
      <c r="B380" s="35">
        <v>399</v>
      </c>
    </row>
    <row r="381" spans="1:2" x14ac:dyDescent="0.3">
      <c r="A381" s="35" t="s">
        <v>640</v>
      </c>
      <c r="B381" s="35">
        <v>449</v>
      </c>
    </row>
    <row r="382" spans="1:2" x14ac:dyDescent="0.3">
      <c r="A382" s="35" t="s">
        <v>641</v>
      </c>
      <c r="B382" s="35">
        <v>399</v>
      </c>
    </row>
    <row r="383" spans="1:2" x14ac:dyDescent="0.3">
      <c r="A383" s="35" t="s">
        <v>642</v>
      </c>
      <c r="B383" s="35">
        <v>329</v>
      </c>
    </row>
    <row r="384" spans="1:2" x14ac:dyDescent="0.3">
      <c r="A384" s="35" t="s">
        <v>643</v>
      </c>
      <c r="B384" s="35">
        <v>599</v>
      </c>
    </row>
    <row r="385" spans="1:2" x14ac:dyDescent="0.3">
      <c r="A385" s="35" t="s">
        <v>644</v>
      </c>
      <c r="B385" s="35">
        <v>399</v>
      </c>
    </row>
    <row r="386" spans="1:2" x14ac:dyDescent="0.3">
      <c r="A386" s="35" t="s">
        <v>645</v>
      </c>
      <c r="B386" s="35">
        <v>799</v>
      </c>
    </row>
    <row r="387" spans="1:2" x14ac:dyDescent="0.3">
      <c r="A387" s="35" t="s">
        <v>646</v>
      </c>
      <c r="B387" s="35">
        <v>849</v>
      </c>
    </row>
    <row r="388" spans="1:2" x14ac:dyDescent="0.3">
      <c r="A388" s="35" t="s">
        <v>647</v>
      </c>
      <c r="B388" s="35">
        <v>229</v>
      </c>
    </row>
    <row r="389" spans="1:2" x14ac:dyDescent="0.3">
      <c r="A389" s="35" t="s">
        <v>648</v>
      </c>
      <c r="B389" s="35">
        <v>399</v>
      </c>
    </row>
    <row r="390" spans="1:2" x14ac:dyDescent="0.3">
      <c r="A390" s="35" t="s">
        <v>649</v>
      </c>
      <c r="B390" s="35">
        <v>199</v>
      </c>
    </row>
    <row r="391" spans="1:2" x14ac:dyDescent="0.3">
      <c r="A391" s="35" t="s">
        <v>650</v>
      </c>
      <c r="B391" s="35">
        <v>179</v>
      </c>
    </row>
    <row r="392" spans="1:2" x14ac:dyDescent="0.3">
      <c r="A392" s="35" t="s">
        <v>651</v>
      </c>
      <c r="B392" s="35">
        <v>229</v>
      </c>
    </row>
    <row r="393" spans="1:2" x14ac:dyDescent="0.3">
      <c r="A393" s="35" t="s">
        <v>652</v>
      </c>
      <c r="B393" s="35">
        <v>249</v>
      </c>
    </row>
    <row r="394" spans="1:2" x14ac:dyDescent="0.3">
      <c r="A394" s="35" t="s">
        <v>653</v>
      </c>
      <c r="B394" s="35">
        <v>299</v>
      </c>
    </row>
    <row r="395" spans="1:2" x14ac:dyDescent="0.3">
      <c r="A395" s="35" t="s">
        <v>654</v>
      </c>
      <c r="B395" s="35">
        <v>149</v>
      </c>
    </row>
    <row r="396" spans="1:2" x14ac:dyDescent="0.3">
      <c r="A396" s="35" t="s">
        <v>655</v>
      </c>
      <c r="B396" s="35">
        <v>249</v>
      </c>
    </row>
    <row r="397" spans="1:2" x14ac:dyDescent="0.3">
      <c r="A397" s="35" t="s">
        <v>656</v>
      </c>
      <c r="B397" s="35">
        <v>149</v>
      </c>
    </row>
    <row r="398" spans="1:2" x14ac:dyDescent="0.3">
      <c r="A398" s="35" t="s">
        <v>657</v>
      </c>
      <c r="B398" s="35">
        <v>169</v>
      </c>
    </row>
    <row r="399" spans="1:2" x14ac:dyDescent="0.3">
      <c r="A399" s="35" t="s">
        <v>658</v>
      </c>
      <c r="B399" s="35">
        <v>179</v>
      </c>
    </row>
    <row r="400" spans="1:2" x14ac:dyDescent="0.3">
      <c r="A400" s="35" t="s">
        <v>659</v>
      </c>
      <c r="B400" s="35">
        <v>149</v>
      </c>
    </row>
    <row r="401" spans="1:2" x14ac:dyDescent="0.3">
      <c r="A401" s="35" t="s">
        <v>660</v>
      </c>
      <c r="B401" s="35">
        <v>229</v>
      </c>
    </row>
    <row r="402" spans="1:2" x14ac:dyDescent="0.3">
      <c r="A402" s="35" t="s">
        <v>661</v>
      </c>
      <c r="B402" s="35">
        <v>179</v>
      </c>
    </row>
    <row r="403" spans="1:2" x14ac:dyDescent="0.3">
      <c r="A403" s="35" t="s">
        <v>662</v>
      </c>
      <c r="B403" s="35">
        <v>109</v>
      </c>
    </row>
    <row r="404" spans="1:2" x14ac:dyDescent="0.3">
      <c r="A404" s="35" t="s">
        <v>663</v>
      </c>
      <c r="B404" s="35">
        <v>149</v>
      </c>
    </row>
    <row r="405" spans="1:2" x14ac:dyDescent="0.3">
      <c r="A405" s="35" t="s">
        <v>664</v>
      </c>
      <c r="B405" s="35">
        <v>149</v>
      </c>
    </row>
    <row r="406" spans="1:2" x14ac:dyDescent="0.3">
      <c r="A406" s="35" t="s">
        <v>665</v>
      </c>
      <c r="B406" s="35">
        <v>129</v>
      </c>
    </row>
    <row r="407" spans="1:2" x14ac:dyDescent="0.3">
      <c r="A407" s="35" t="s">
        <v>666</v>
      </c>
      <c r="B407" s="35">
        <v>149</v>
      </c>
    </row>
    <row r="408" spans="1:2" x14ac:dyDescent="0.3">
      <c r="A408" s="35" t="s">
        <v>667</v>
      </c>
      <c r="B408" s="35">
        <v>149</v>
      </c>
    </row>
    <row r="409" spans="1:2" x14ac:dyDescent="0.3">
      <c r="A409" s="35" t="s">
        <v>668</v>
      </c>
      <c r="B409" s="35">
        <v>99</v>
      </c>
    </row>
    <row r="410" spans="1:2" x14ac:dyDescent="0.3">
      <c r="A410" s="35" t="s">
        <v>669</v>
      </c>
      <c r="B410" s="35">
        <v>249</v>
      </c>
    </row>
    <row r="411" spans="1:2" x14ac:dyDescent="0.3">
      <c r="A411" s="35" t="s">
        <v>670</v>
      </c>
      <c r="B411" s="35">
        <v>199</v>
      </c>
    </row>
    <row r="412" spans="1:2" x14ac:dyDescent="0.3">
      <c r="A412" s="35" t="s">
        <v>671</v>
      </c>
      <c r="B412" s="35">
        <v>249</v>
      </c>
    </row>
    <row r="413" spans="1:2" x14ac:dyDescent="0.3">
      <c r="A413" s="35" t="s">
        <v>672</v>
      </c>
      <c r="B413" s="35">
        <v>249</v>
      </c>
    </row>
    <row r="414" spans="1:2" x14ac:dyDescent="0.3">
      <c r="A414" s="35" t="s">
        <v>673</v>
      </c>
      <c r="B414" s="35">
        <v>99</v>
      </c>
    </row>
    <row r="415" spans="1:2" x14ac:dyDescent="0.3">
      <c r="A415" s="35" t="s">
        <v>674</v>
      </c>
      <c r="B415" s="35">
        <v>99</v>
      </c>
    </row>
    <row r="416" spans="1:2" x14ac:dyDescent="0.3">
      <c r="A416" s="35" t="s">
        <v>675</v>
      </c>
      <c r="B416" s="35">
        <v>99</v>
      </c>
    </row>
    <row r="417" spans="1:2" x14ac:dyDescent="0.3">
      <c r="A417" s="35" t="s">
        <v>676</v>
      </c>
      <c r="B417" s="35">
        <v>149</v>
      </c>
    </row>
    <row r="418" spans="1:2" x14ac:dyDescent="0.3">
      <c r="A418" s="35" t="s">
        <v>677</v>
      </c>
      <c r="B418" s="35">
        <v>129</v>
      </c>
    </row>
    <row r="419" spans="1:2" x14ac:dyDescent="0.3">
      <c r="A419" s="35" t="s">
        <v>678</v>
      </c>
      <c r="B419" s="35">
        <v>99</v>
      </c>
    </row>
    <row r="420" spans="1:2" x14ac:dyDescent="0.3">
      <c r="A420" s="35" t="s">
        <v>679</v>
      </c>
      <c r="B420" s="35">
        <v>349</v>
      </c>
    </row>
    <row r="421" spans="1:2" x14ac:dyDescent="0.3">
      <c r="A421" s="35" t="s">
        <v>680</v>
      </c>
      <c r="B421" s="35">
        <v>149</v>
      </c>
    </row>
    <row r="422" spans="1:2" x14ac:dyDescent="0.3">
      <c r="A422" s="35" t="s">
        <v>681</v>
      </c>
      <c r="B422" s="35">
        <v>399</v>
      </c>
    </row>
    <row r="423" spans="1:2" x14ac:dyDescent="0.3">
      <c r="A423" s="35" t="s">
        <v>682</v>
      </c>
      <c r="B423" s="35">
        <v>99</v>
      </c>
    </row>
    <row r="424" spans="1:2" x14ac:dyDescent="0.3">
      <c r="A424" s="35" t="s">
        <v>683</v>
      </c>
      <c r="B424" s="35">
        <v>129</v>
      </c>
    </row>
    <row r="425" spans="1:2" x14ac:dyDescent="0.3">
      <c r="A425" s="35" t="s">
        <v>684</v>
      </c>
      <c r="B425" s="35">
        <v>199</v>
      </c>
    </row>
    <row r="426" spans="1:2" x14ac:dyDescent="0.3">
      <c r="A426" s="35" t="s">
        <v>685</v>
      </c>
      <c r="B426" s="35">
        <v>399</v>
      </c>
    </row>
    <row r="427" spans="1:2" x14ac:dyDescent="0.3">
      <c r="A427" s="35" t="s">
        <v>686</v>
      </c>
      <c r="B427" s="35">
        <v>399</v>
      </c>
    </row>
    <row r="428" spans="1:2" x14ac:dyDescent="0.3">
      <c r="A428" s="35" t="s">
        <v>687</v>
      </c>
      <c r="B428" s="35">
        <v>399</v>
      </c>
    </row>
    <row r="429" spans="1:2" x14ac:dyDescent="0.3">
      <c r="A429" s="35" t="s">
        <v>688</v>
      </c>
      <c r="B429" s="35">
        <v>299</v>
      </c>
    </row>
    <row r="430" spans="1:2" x14ac:dyDescent="0.3">
      <c r="A430" s="35" t="s">
        <v>689</v>
      </c>
      <c r="B430" s="35">
        <v>399</v>
      </c>
    </row>
    <row r="431" spans="1:2" x14ac:dyDescent="0.3">
      <c r="A431" s="35" t="s">
        <v>690</v>
      </c>
      <c r="B431" s="35">
        <v>199</v>
      </c>
    </row>
    <row r="432" spans="1:2" x14ac:dyDescent="0.3">
      <c r="A432" s="35" t="s">
        <v>691</v>
      </c>
      <c r="B432" s="35">
        <v>399</v>
      </c>
    </row>
    <row r="433" spans="1:2" x14ac:dyDescent="0.3">
      <c r="A433" s="35" t="s">
        <v>692</v>
      </c>
      <c r="B433" s="35">
        <v>249</v>
      </c>
    </row>
    <row r="434" spans="1:2" x14ac:dyDescent="0.3">
      <c r="A434" s="35" t="s">
        <v>693</v>
      </c>
      <c r="B434" s="35">
        <v>229</v>
      </c>
    </row>
    <row r="435" spans="1:2" x14ac:dyDescent="0.3">
      <c r="A435" s="35" t="s">
        <v>694</v>
      </c>
      <c r="B435" s="35">
        <v>169</v>
      </c>
    </row>
    <row r="436" spans="1:2" x14ac:dyDescent="0.3">
      <c r="A436" s="35" t="s">
        <v>695</v>
      </c>
      <c r="B436" s="35">
        <v>199</v>
      </c>
    </row>
    <row r="437" spans="1:2" x14ac:dyDescent="0.3">
      <c r="A437" s="35" t="s">
        <v>696</v>
      </c>
      <c r="B437" s="35">
        <v>249</v>
      </c>
    </row>
    <row r="438" spans="1:2" x14ac:dyDescent="0.3">
      <c r="A438" s="35" t="s">
        <v>697</v>
      </c>
      <c r="B438" s="35">
        <v>399</v>
      </c>
    </row>
    <row r="439" spans="1:2" x14ac:dyDescent="0.3">
      <c r="A439" s="35" t="s">
        <v>698</v>
      </c>
      <c r="B439" s="35">
        <v>299</v>
      </c>
    </row>
    <row r="440" spans="1:2" x14ac:dyDescent="0.3">
      <c r="A440" s="35" t="s">
        <v>699</v>
      </c>
      <c r="B440" s="35">
        <v>249</v>
      </c>
    </row>
    <row r="441" spans="1:2" x14ac:dyDescent="0.3">
      <c r="A441" s="35" t="s">
        <v>700</v>
      </c>
      <c r="B441" s="35">
        <v>199</v>
      </c>
    </row>
    <row r="442" spans="1:2" x14ac:dyDescent="0.3">
      <c r="A442" s="35" t="s">
        <v>701</v>
      </c>
      <c r="B442" s="35">
        <v>249</v>
      </c>
    </row>
    <row r="443" spans="1:2" x14ac:dyDescent="0.3">
      <c r="A443" s="35" t="s">
        <v>702</v>
      </c>
      <c r="B443" s="35">
        <v>99</v>
      </c>
    </row>
    <row r="444" spans="1:2" x14ac:dyDescent="0.3">
      <c r="A444" s="35" t="s">
        <v>703</v>
      </c>
      <c r="B444" s="35">
        <v>149</v>
      </c>
    </row>
    <row r="445" spans="1:2" x14ac:dyDescent="0.3">
      <c r="A445" s="35" t="s">
        <v>704</v>
      </c>
      <c r="B445" s="35">
        <v>229</v>
      </c>
    </row>
    <row r="446" spans="1:2" x14ac:dyDescent="0.3">
      <c r="A446" s="35" t="s">
        <v>705</v>
      </c>
      <c r="B446" s="35">
        <v>799</v>
      </c>
    </row>
    <row r="447" spans="1:2" x14ac:dyDescent="0.3">
      <c r="A447" s="35" t="s">
        <v>706</v>
      </c>
      <c r="B447" s="35">
        <v>349</v>
      </c>
    </row>
    <row r="448" spans="1:2" x14ac:dyDescent="0.3">
      <c r="A448" s="35" t="s">
        <v>707</v>
      </c>
      <c r="B448" s="35">
        <v>399</v>
      </c>
    </row>
    <row r="449" spans="1:2" x14ac:dyDescent="0.3">
      <c r="A449" s="35" t="s">
        <v>708</v>
      </c>
      <c r="B449" s="35">
        <v>229</v>
      </c>
    </row>
    <row r="450" spans="1:2" x14ac:dyDescent="0.3">
      <c r="A450" s="35" t="s">
        <v>709</v>
      </c>
      <c r="B450" s="35">
        <v>129</v>
      </c>
    </row>
    <row r="451" spans="1:2" x14ac:dyDescent="0.3">
      <c r="A451" s="35" t="s">
        <v>710</v>
      </c>
      <c r="B451" s="35">
        <v>149</v>
      </c>
    </row>
    <row r="452" spans="1:2" x14ac:dyDescent="0.3">
      <c r="A452" s="35" t="s">
        <v>711</v>
      </c>
      <c r="B452" s="35">
        <v>199</v>
      </c>
    </row>
    <row r="453" spans="1:2" x14ac:dyDescent="0.3">
      <c r="A453" s="35" t="s">
        <v>712</v>
      </c>
      <c r="B453" s="35">
        <v>129</v>
      </c>
    </row>
    <row r="454" spans="1:2" x14ac:dyDescent="0.3">
      <c r="A454" s="35" t="s">
        <v>713</v>
      </c>
      <c r="B454" s="35">
        <v>149</v>
      </c>
    </row>
    <row r="455" spans="1:2" x14ac:dyDescent="0.3">
      <c r="A455" s="35" t="s">
        <v>714</v>
      </c>
      <c r="B455" s="35">
        <v>149</v>
      </c>
    </row>
    <row r="456" spans="1:2" x14ac:dyDescent="0.3">
      <c r="A456" s="35" t="s">
        <v>715</v>
      </c>
      <c r="B456" s="36">
        <v>99</v>
      </c>
    </row>
    <row r="457" spans="1:2" x14ac:dyDescent="0.3">
      <c r="A457" s="35" t="s">
        <v>716</v>
      </c>
      <c r="B457" s="36">
        <v>129</v>
      </c>
    </row>
    <row r="458" spans="1:2" x14ac:dyDescent="0.3">
      <c r="A458" s="35" t="s">
        <v>717</v>
      </c>
      <c r="B458" s="36">
        <v>149</v>
      </c>
    </row>
    <row r="459" spans="1:2" x14ac:dyDescent="0.3">
      <c r="A459" s="35" t="s">
        <v>718</v>
      </c>
      <c r="B459" s="36">
        <v>199</v>
      </c>
    </row>
    <row r="460" spans="1:2" x14ac:dyDescent="0.3">
      <c r="A460" s="35" t="s">
        <v>719</v>
      </c>
      <c r="B460" s="35">
        <v>179</v>
      </c>
    </row>
    <row r="461" spans="1:2" x14ac:dyDescent="0.3">
      <c r="A461" s="35" t="s">
        <v>720</v>
      </c>
      <c r="B461" s="35">
        <v>229</v>
      </c>
    </row>
    <row r="462" spans="1:2" x14ac:dyDescent="0.3">
      <c r="A462" s="35" t="s">
        <v>721</v>
      </c>
      <c r="B462" s="35">
        <v>299</v>
      </c>
    </row>
    <row r="463" spans="1:2" x14ac:dyDescent="0.3">
      <c r="A463" s="35" t="s">
        <v>722</v>
      </c>
      <c r="B463" s="35">
        <v>349</v>
      </c>
    </row>
    <row r="464" spans="1:2" x14ac:dyDescent="0.3">
      <c r="A464" s="35" t="s">
        <v>723</v>
      </c>
      <c r="B464" s="35">
        <v>399</v>
      </c>
    </row>
    <row r="465" spans="1:2" x14ac:dyDescent="0.3">
      <c r="A465" s="35" t="s">
        <v>724</v>
      </c>
      <c r="B465" s="35">
        <v>259</v>
      </c>
    </row>
    <row r="466" spans="1:2" x14ac:dyDescent="0.3">
      <c r="A466" s="35" t="s">
        <v>725</v>
      </c>
      <c r="B466" s="35">
        <v>249</v>
      </c>
    </row>
    <row r="467" spans="1:2" x14ac:dyDescent="0.3">
      <c r="A467" s="35" t="s">
        <v>726</v>
      </c>
      <c r="B467" s="35">
        <v>139</v>
      </c>
    </row>
    <row r="468" spans="1:2" x14ac:dyDescent="0.3">
      <c r="A468" s="35" t="s">
        <v>727</v>
      </c>
      <c r="B468" s="35">
        <v>129</v>
      </c>
    </row>
    <row r="469" spans="1:2" x14ac:dyDescent="0.3">
      <c r="A469" s="35" t="s">
        <v>728</v>
      </c>
      <c r="B469" s="35">
        <v>149</v>
      </c>
    </row>
    <row r="470" spans="1:2" x14ac:dyDescent="0.3">
      <c r="A470" s="35" t="s">
        <v>729</v>
      </c>
      <c r="B470" s="35">
        <v>299</v>
      </c>
    </row>
    <row r="471" spans="1:2" x14ac:dyDescent="0.3">
      <c r="A471" s="35" t="s">
        <v>730</v>
      </c>
      <c r="B471" s="35">
        <v>129</v>
      </c>
    </row>
    <row r="472" spans="1:2" x14ac:dyDescent="0.3">
      <c r="A472" s="35" t="s">
        <v>731</v>
      </c>
      <c r="B472" s="35">
        <v>149</v>
      </c>
    </row>
    <row r="473" spans="1:2" x14ac:dyDescent="0.3">
      <c r="A473" s="35" t="s">
        <v>732</v>
      </c>
      <c r="B473" s="35">
        <v>199</v>
      </c>
    </row>
    <row r="474" spans="1:2" x14ac:dyDescent="0.3">
      <c r="A474" s="35" t="s">
        <v>733</v>
      </c>
      <c r="B474" s="35">
        <v>40</v>
      </c>
    </row>
    <row r="475" spans="1:2" x14ac:dyDescent="0.3">
      <c r="A475" s="35" t="s">
        <v>734</v>
      </c>
      <c r="B475" s="35">
        <v>259</v>
      </c>
    </row>
    <row r="476" spans="1:2" x14ac:dyDescent="0.3">
      <c r="A476" s="35" t="s">
        <v>735</v>
      </c>
      <c r="B476" s="35">
        <v>249</v>
      </c>
    </row>
    <row r="477" spans="1:2" x14ac:dyDescent="0.3">
      <c r="A477" s="35" t="s">
        <v>736</v>
      </c>
      <c r="B477" s="35">
        <v>249</v>
      </c>
    </row>
    <row r="478" spans="1:2" x14ac:dyDescent="0.3">
      <c r="A478" s="35" t="s">
        <v>737</v>
      </c>
      <c r="B478" s="35">
        <v>429</v>
      </c>
    </row>
    <row r="479" spans="1:2" x14ac:dyDescent="0.3">
      <c r="A479" s="35" t="s">
        <v>738</v>
      </c>
      <c r="B479" s="35">
        <v>249</v>
      </c>
    </row>
    <row r="480" spans="1:2" x14ac:dyDescent="0.3">
      <c r="A480" s="35" t="s">
        <v>739</v>
      </c>
      <c r="B480" s="35">
        <v>299</v>
      </c>
    </row>
    <row r="481" spans="1:2" x14ac:dyDescent="0.3">
      <c r="A481" s="35" t="s">
        <v>740</v>
      </c>
      <c r="B481" s="35">
        <v>349</v>
      </c>
    </row>
    <row r="482" spans="1:2" x14ac:dyDescent="0.3">
      <c r="A482" s="35" t="s">
        <v>741</v>
      </c>
      <c r="B482" s="35">
        <v>299</v>
      </c>
    </row>
    <row r="483" spans="1:2" x14ac:dyDescent="0.3">
      <c r="A483" s="35" t="s">
        <v>742</v>
      </c>
      <c r="B483" s="35">
        <v>349</v>
      </c>
    </row>
    <row r="484" spans="1:2" x14ac:dyDescent="0.3">
      <c r="A484" s="35" t="s">
        <v>743</v>
      </c>
      <c r="B484" s="35">
        <v>199</v>
      </c>
    </row>
    <row r="485" spans="1:2" x14ac:dyDescent="0.3">
      <c r="A485" s="35" t="s">
        <v>744</v>
      </c>
      <c r="B485" s="35">
        <v>329</v>
      </c>
    </row>
    <row r="486" spans="1:2" x14ac:dyDescent="0.3">
      <c r="A486" s="35" t="s">
        <v>745</v>
      </c>
      <c r="B486" s="35">
        <v>299</v>
      </c>
    </row>
    <row r="487" spans="1:2" x14ac:dyDescent="0.3">
      <c r="A487" s="35" t="s">
        <v>746</v>
      </c>
      <c r="B487" s="35">
        <v>249</v>
      </c>
    </row>
    <row r="488" spans="1:2" x14ac:dyDescent="0.3">
      <c r="A488" s="35" t="s">
        <v>747</v>
      </c>
      <c r="B488" s="35">
        <v>349</v>
      </c>
    </row>
    <row r="489" spans="1:2" x14ac:dyDescent="0.3">
      <c r="A489" s="35" t="s">
        <v>748</v>
      </c>
      <c r="B489" s="35">
        <v>199</v>
      </c>
    </row>
    <row r="490" spans="1:2" x14ac:dyDescent="0.3">
      <c r="A490" s="35" t="s">
        <v>749</v>
      </c>
      <c r="B490" s="35">
        <v>149</v>
      </c>
    </row>
    <row r="491" spans="1:2" x14ac:dyDescent="0.3">
      <c r="A491" s="35" t="s">
        <v>750</v>
      </c>
      <c r="B491" s="35">
        <v>399</v>
      </c>
    </row>
    <row r="492" spans="1:2" x14ac:dyDescent="0.3">
      <c r="A492" s="35" t="s">
        <v>751</v>
      </c>
      <c r="B492" s="35">
        <v>249</v>
      </c>
    </row>
    <row r="493" spans="1:2" x14ac:dyDescent="0.3">
      <c r="A493" s="35" t="s">
        <v>752</v>
      </c>
      <c r="B493" s="35">
        <v>129</v>
      </c>
    </row>
    <row r="494" spans="1:2" x14ac:dyDescent="0.3">
      <c r="A494" s="35" t="s">
        <v>753</v>
      </c>
      <c r="B494" s="35">
        <v>159</v>
      </c>
    </row>
    <row r="495" spans="1:2" x14ac:dyDescent="0.3">
      <c r="A495" s="35" t="s">
        <v>754</v>
      </c>
      <c r="B495" s="35">
        <v>159</v>
      </c>
    </row>
    <row r="496" spans="1:2" x14ac:dyDescent="0.3">
      <c r="A496" s="35" t="s">
        <v>755</v>
      </c>
      <c r="B496" s="35">
        <v>149</v>
      </c>
    </row>
    <row r="497" spans="1:2" x14ac:dyDescent="0.3">
      <c r="A497" s="35" t="s">
        <v>756</v>
      </c>
      <c r="B497" s="35">
        <v>249</v>
      </c>
    </row>
    <row r="498" spans="1:2" x14ac:dyDescent="0.3">
      <c r="A498" s="35" t="s">
        <v>757</v>
      </c>
      <c r="B498" s="35">
        <v>249</v>
      </c>
    </row>
    <row r="499" spans="1:2" x14ac:dyDescent="0.3">
      <c r="A499" s="35" t="s">
        <v>758</v>
      </c>
      <c r="B499" s="35">
        <v>299</v>
      </c>
    </row>
    <row r="500" spans="1:2" x14ac:dyDescent="0.3">
      <c r="A500" s="35" t="s">
        <v>759</v>
      </c>
      <c r="B500" s="35">
        <v>299</v>
      </c>
    </row>
    <row r="501" spans="1:2" x14ac:dyDescent="0.3">
      <c r="A501" s="35" t="s">
        <v>760</v>
      </c>
      <c r="B501" s="35">
        <v>249</v>
      </c>
    </row>
    <row r="502" spans="1:2" x14ac:dyDescent="0.3">
      <c r="A502" s="35" t="s">
        <v>761</v>
      </c>
      <c r="B502" s="35">
        <v>99</v>
      </c>
    </row>
    <row r="503" spans="1:2" x14ac:dyDescent="0.3">
      <c r="A503" s="35" t="s">
        <v>762</v>
      </c>
      <c r="B503" s="35">
        <v>149</v>
      </c>
    </row>
    <row r="504" spans="1:2" x14ac:dyDescent="0.3">
      <c r="A504" s="35" t="s">
        <v>763</v>
      </c>
      <c r="B504" s="35">
        <v>149</v>
      </c>
    </row>
    <row r="505" spans="1:2" x14ac:dyDescent="0.3">
      <c r="A505" s="35" t="s">
        <v>764</v>
      </c>
      <c r="B505" s="35">
        <v>229</v>
      </c>
    </row>
    <row r="506" spans="1:2" x14ac:dyDescent="0.3">
      <c r="A506" s="35" t="s">
        <v>765</v>
      </c>
      <c r="B506" s="35">
        <v>249</v>
      </c>
    </row>
    <row r="507" spans="1:2" x14ac:dyDescent="0.3">
      <c r="A507" s="35" t="s">
        <v>766</v>
      </c>
      <c r="B507" s="35">
        <v>249</v>
      </c>
    </row>
    <row r="508" spans="1:2" x14ac:dyDescent="0.3">
      <c r="A508" s="35" t="s">
        <v>767</v>
      </c>
      <c r="B508" s="35">
        <v>249</v>
      </c>
    </row>
    <row r="509" spans="1:2" x14ac:dyDescent="0.3">
      <c r="A509" s="35" t="s">
        <v>768</v>
      </c>
      <c r="B509" s="35">
        <v>299</v>
      </c>
    </row>
    <row r="510" spans="1:2" x14ac:dyDescent="0.3">
      <c r="A510" s="35" t="s">
        <v>769</v>
      </c>
      <c r="B510" s="35">
        <v>99</v>
      </c>
    </row>
    <row r="511" spans="1:2" x14ac:dyDescent="0.3">
      <c r="A511" s="35" t="s">
        <v>770</v>
      </c>
      <c r="B511" s="35">
        <v>149</v>
      </c>
    </row>
    <row r="512" spans="1:2" x14ac:dyDescent="0.3">
      <c r="A512" s="35" t="s">
        <v>771</v>
      </c>
      <c r="B512" s="35">
        <v>99</v>
      </c>
    </row>
    <row r="513" spans="1:2" x14ac:dyDescent="0.3">
      <c r="A513" s="35" t="s">
        <v>772</v>
      </c>
      <c r="B513" s="35">
        <v>229</v>
      </c>
    </row>
    <row r="514" spans="1:2" x14ac:dyDescent="0.3">
      <c r="A514" s="35" t="s">
        <v>773</v>
      </c>
      <c r="B514" s="35">
        <v>149</v>
      </c>
    </row>
    <row r="515" spans="1:2" x14ac:dyDescent="0.3">
      <c r="A515" s="35" t="s">
        <v>774</v>
      </c>
      <c r="B515" s="35">
        <v>99</v>
      </c>
    </row>
    <row r="516" spans="1:2" x14ac:dyDescent="0.3">
      <c r="A516" s="35" t="s">
        <v>775</v>
      </c>
      <c r="B516" s="35">
        <v>99</v>
      </c>
    </row>
    <row r="517" spans="1:2" x14ac:dyDescent="0.3">
      <c r="A517" s="35" t="s">
        <v>776</v>
      </c>
      <c r="B517" s="35">
        <v>99</v>
      </c>
    </row>
    <row r="518" spans="1:2" x14ac:dyDescent="0.3">
      <c r="A518" s="35" t="s">
        <v>777</v>
      </c>
      <c r="B518" s="35">
        <v>99</v>
      </c>
    </row>
    <row r="519" spans="1:2" x14ac:dyDescent="0.3">
      <c r="A519" s="35" t="s">
        <v>778</v>
      </c>
      <c r="B519" s="35">
        <v>99</v>
      </c>
    </row>
    <row r="520" spans="1:2" x14ac:dyDescent="0.3">
      <c r="A520" s="35" t="s">
        <v>779</v>
      </c>
      <c r="B520" s="35">
        <v>159</v>
      </c>
    </row>
    <row r="521" spans="1:2" x14ac:dyDescent="0.3">
      <c r="A521" s="35" t="s">
        <v>780</v>
      </c>
      <c r="B521" s="35">
        <v>149</v>
      </c>
    </row>
    <row r="522" spans="1:2" x14ac:dyDescent="0.3">
      <c r="A522" s="35" t="s">
        <v>781</v>
      </c>
      <c r="B522" s="35">
        <v>129</v>
      </c>
    </row>
    <row r="523" spans="1:2" x14ac:dyDescent="0.3">
      <c r="A523" s="35" t="s">
        <v>782</v>
      </c>
      <c r="B523" s="35">
        <v>229</v>
      </c>
    </row>
    <row r="524" spans="1:2" x14ac:dyDescent="0.3">
      <c r="A524" s="35" t="s">
        <v>783</v>
      </c>
      <c r="B524" s="35">
        <v>259</v>
      </c>
    </row>
    <row r="525" spans="1:2" x14ac:dyDescent="0.3">
      <c r="A525" s="35" t="s">
        <v>784</v>
      </c>
      <c r="B525" s="35">
        <v>399</v>
      </c>
    </row>
    <row r="526" spans="1:2" x14ac:dyDescent="0.3">
      <c r="A526" s="35" t="s">
        <v>785</v>
      </c>
      <c r="B526" s="35">
        <v>449</v>
      </c>
    </row>
    <row r="527" spans="1:2" x14ac:dyDescent="0.3">
      <c r="A527" s="35" t="s">
        <v>786</v>
      </c>
      <c r="B527" s="35">
        <v>499</v>
      </c>
    </row>
    <row r="528" spans="1:2" x14ac:dyDescent="0.3">
      <c r="A528" s="35" t="s">
        <v>787</v>
      </c>
      <c r="B528" s="35">
        <v>549</v>
      </c>
    </row>
    <row r="529" spans="1:2" x14ac:dyDescent="0.3">
      <c r="A529" s="35" t="s">
        <v>788</v>
      </c>
      <c r="B529" s="35">
        <v>399</v>
      </c>
    </row>
    <row r="530" spans="1:2" x14ac:dyDescent="0.3">
      <c r="A530" s="35" t="s">
        <v>789</v>
      </c>
      <c r="B530" s="35">
        <v>399</v>
      </c>
    </row>
    <row r="531" spans="1:2" x14ac:dyDescent="0.3">
      <c r="A531" s="35" t="s">
        <v>790</v>
      </c>
      <c r="B531" s="35">
        <v>599</v>
      </c>
    </row>
    <row r="532" spans="1:2" x14ac:dyDescent="0.3">
      <c r="A532" s="35" t="s">
        <v>791</v>
      </c>
      <c r="B532" s="35">
        <v>699</v>
      </c>
    </row>
    <row r="533" spans="1:2" x14ac:dyDescent="0.3">
      <c r="A533" s="35" t="s">
        <v>792</v>
      </c>
      <c r="B533" s="35">
        <v>799</v>
      </c>
    </row>
    <row r="534" spans="1:2" x14ac:dyDescent="0.3">
      <c r="A534" s="35" t="s">
        <v>793</v>
      </c>
      <c r="B534" s="35">
        <v>849</v>
      </c>
    </row>
    <row r="535" spans="1:2" x14ac:dyDescent="0.3">
      <c r="A535" s="35" t="s">
        <v>794</v>
      </c>
      <c r="B535" s="35">
        <v>349</v>
      </c>
    </row>
    <row r="536" spans="1:2" x14ac:dyDescent="0.3">
      <c r="A536" s="35" t="s">
        <v>795</v>
      </c>
      <c r="B536" s="35">
        <v>300</v>
      </c>
    </row>
    <row r="537" spans="1:2" x14ac:dyDescent="0.3">
      <c r="A537" s="35" t="s">
        <v>796</v>
      </c>
      <c r="B537" s="35">
        <v>149</v>
      </c>
    </row>
    <row r="538" spans="1:2" x14ac:dyDescent="0.3">
      <c r="A538" s="35" t="s">
        <v>797</v>
      </c>
      <c r="B538" s="35">
        <v>169</v>
      </c>
    </row>
    <row r="539" spans="1:2" x14ac:dyDescent="0.3">
      <c r="A539" s="35" t="s">
        <v>798</v>
      </c>
      <c r="B539" s="35">
        <v>249</v>
      </c>
    </row>
    <row r="540" spans="1:2" x14ac:dyDescent="0.3">
      <c r="A540" s="35" t="s">
        <v>799</v>
      </c>
      <c r="B540" s="35">
        <v>399</v>
      </c>
    </row>
    <row r="541" spans="1:2" x14ac:dyDescent="0.3">
      <c r="A541" s="35" t="s">
        <v>800</v>
      </c>
      <c r="B541" s="35">
        <v>159</v>
      </c>
    </row>
    <row r="542" spans="1:2" x14ac:dyDescent="0.3">
      <c r="A542" s="35" t="s">
        <v>801</v>
      </c>
      <c r="B542" s="35">
        <v>199</v>
      </c>
    </row>
    <row r="543" spans="1:2" x14ac:dyDescent="0.3">
      <c r="A543" s="35" t="s">
        <v>802</v>
      </c>
      <c r="B543" s="35">
        <v>249</v>
      </c>
    </row>
    <row r="544" spans="1:2" x14ac:dyDescent="0.3">
      <c r="A544" s="35" t="s">
        <v>803</v>
      </c>
      <c r="B544" s="35">
        <v>199</v>
      </c>
    </row>
    <row r="545" spans="1:2" x14ac:dyDescent="0.3">
      <c r="A545" s="35" t="s">
        <v>804</v>
      </c>
      <c r="B545" s="35">
        <v>149</v>
      </c>
    </row>
    <row r="546" spans="1:2" x14ac:dyDescent="0.3">
      <c r="A546" s="35" t="s">
        <v>805</v>
      </c>
      <c r="B546" s="35">
        <v>129</v>
      </c>
    </row>
    <row r="547" spans="1:2" x14ac:dyDescent="0.3">
      <c r="A547" s="35" t="s">
        <v>806</v>
      </c>
      <c r="B547" s="35">
        <v>99</v>
      </c>
    </row>
    <row r="548" spans="1:2" x14ac:dyDescent="0.3">
      <c r="A548" s="35" t="s">
        <v>807</v>
      </c>
      <c r="B548" s="35">
        <v>249</v>
      </c>
    </row>
    <row r="549" spans="1:2" x14ac:dyDescent="0.3">
      <c r="A549" s="35" t="s">
        <v>808</v>
      </c>
      <c r="B549" s="35">
        <v>129</v>
      </c>
    </row>
    <row r="550" spans="1:2" x14ac:dyDescent="0.3">
      <c r="A550" s="35" t="s">
        <v>809</v>
      </c>
      <c r="B550" s="35">
        <v>229</v>
      </c>
    </row>
    <row r="551" spans="1:2" x14ac:dyDescent="0.3">
      <c r="A551" s="35" t="s">
        <v>810</v>
      </c>
      <c r="B551" s="35">
        <v>99</v>
      </c>
    </row>
    <row r="552" spans="1:2" x14ac:dyDescent="0.3">
      <c r="A552" s="35" t="s">
        <v>811</v>
      </c>
      <c r="B552" s="35">
        <v>149</v>
      </c>
    </row>
    <row r="553" spans="1:2" x14ac:dyDescent="0.3">
      <c r="A553" s="35" t="s">
        <v>812</v>
      </c>
      <c r="B553" s="35">
        <v>199</v>
      </c>
    </row>
    <row r="554" spans="1:2" x14ac:dyDescent="0.3">
      <c r="A554" s="35" t="s">
        <v>813</v>
      </c>
      <c r="B554" s="35">
        <v>99</v>
      </c>
    </row>
    <row r="555" spans="1:2" x14ac:dyDescent="0.3">
      <c r="A555" s="35" t="s">
        <v>814</v>
      </c>
      <c r="B555" s="35">
        <v>99</v>
      </c>
    </row>
    <row r="556" spans="1:2" x14ac:dyDescent="0.3">
      <c r="A556" s="35" t="s">
        <v>815</v>
      </c>
      <c r="B556" s="35">
        <v>149</v>
      </c>
    </row>
    <row r="557" spans="1:2" x14ac:dyDescent="0.3">
      <c r="A557" s="35" t="s">
        <v>816</v>
      </c>
      <c r="B557" s="35">
        <v>149</v>
      </c>
    </row>
    <row r="558" spans="1:2" x14ac:dyDescent="0.3">
      <c r="A558" s="35" t="s">
        <v>817</v>
      </c>
      <c r="B558" s="35">
        <v>399</v>
      </c>
    </row>
    <row r="559" spans="1:2" x14ac:dyDescent="0.3">
      <c r="A559" s="35" t="s">
        <v>818</v>
      </c>
      <c r="B559" s="35">
        <v>99</v>
      </c>
    </row>
    <row r="560" spans="1:2" x14ac:dyDescent="0.3">
      <c r="A560" s="35" t="s">
        <v>819</v>
      </c>
      <c r="B560" s="35">
        <v>129</v>
      </c>
    </row>
    <row r="561" spans="1:2" x14ac:dyDescent="0.3">
      <c r="A561" s="35" t="s">
        <v>820</v>
      </c>
      <c r="B561" s="35">
        <v>99</v>
      </c>
    </row>
    <row r="562" spans="1:2" x14ac:dyDescent="0.3">
      <c r="A562" s="35" t="s">
        <v>821</v>
      </c>
      <c r="B562" s="35">
        <v>99</v>
      </c>
    </row>
    <row r="563" spans="1:2" x14ac:dyDescent="0.3">
      <c r="A563" s="35" t="s">
        <v>822</v>
      </c>
      <c r="B563" s="35">
        <v>99</v>
      </c>
    </row>
    <row r="564" spans="1:2" x14ac:dyDescent="0.3">
      <c r="A564" s="35" t="s">
        <v>823</v>
      </c>
      <c r="B564" s="35">
        <v>99</v>
      </c>
    </row>
    <row r="565" spans="1:2" x14ac:dyDescent="0.3">
      <c r="A565" s="35" t="s">
        <v>824</v>
      </c>
      <c r="B565" s="35">
        <v>99</v>
      </c>
    </row>
    <row r="566" spans="1:2" x14ac:dyDescent="0.3">
      <c r="A566" s="35" t="s">
        <v>825</v>
      </c>
      <c r="B566" s="35">
        <v>99</v>
      </c>
    </row>
    <row r="567" spans="1:2" x14ac:dyDescent="0.3">
      <c r="A567" s="35" t="s">
        <v>826</v>
      </c>
      <c r="B567" s="35">
        <v>129</v>
      </c>
    </row>
    <row r="568" spans="1:2" x14ac:dyDescent="0.3">
      <c r="A568" s="35" t="s">
        <v>827</v>
      </c>
      <c r="B568" s="35">
        <v>99</v>
      </c>
    </row>
    <row r="569" spans="1:2" x14ac:dyDescent="0.3">
      <c r="A569" s="35" t="s">
        <v>828</v>
      </c>
      <c r="B569" s="35">
        <v>169</v>
      </c>
    </row>
    <row r="570" spans="1:2" x14ac:dyDescent="0.3">
      <c r="A570" s="35" t="s">
        <v>829</v>
      </c>
      <c r="B570" s="35">
        <v>99</v>
      </c>
    </row>
    <row r="571" spans="1:2" x14ac:dyDescent="0.3">
      <c r="A571" s="35" t="s">
        <v>830</v>
      </c>
      <c r="B571" s="35">
        <v>149</v>
      </c>
    </row>
    <row r="572" spans="1:2" x14ac:dyDescent="0.3">
      <c r="A572" s="35" t="s">
        <v>831</v>
      </c>
      <c r="B572" s="35">
        <v>399</v>
      </c>
    </row>
    <row r="573" spans="1:2" x14ac:dyDescent="0.3">
      <c r="A573" s="35" t="s">
        <v>832</v>
      </c>
      <c r="B573" s="35">
        <v>329</v>
      </c>
    </row>
    <row r="574" spans="1:2" x14ac:dyDescent="0.3">
      <c r="A574" s="35" t="s">
        <v>833</v>
      </c>
      <c r="B574" s="35">
        <v>249</v>
      </c>
    </row>
    <row r="575" spans="1:2" x14ac:dyDescent="0.3">
      <c r="A575" s="35" t="s">
        <v>834</v>
      </c>
      <c r="B575" s="35">
        <v>499</v>
      </c>
    </row>
    <row r="576" spans="1:2" x14ac:dyDescent="0.3">
      <c r="A576" s="35" t="s">
        <v>835</v>
      </c>
      <c r="B576" s="35">
        <v>169</v>
      </c>
    </row>
    <row r="577" spans="1:2" x14ac:dyDescent="0.3">
      <c r="A577" s="35" t="s">
        <v>836</v>
      </c>
      <c r="B577" s="35">
        <v>249</v>
      </c>
    </row>
    <row r="578" spans="1:2" x14ac:dyDescent="0.3">
      <c r="A578" s="35" t="s">
        <v>837</v>
      </c>
      <c r="B578" s="35">
        <v>449</v>
      </c>
    </row>
    <row r="579" spans="1:2" x14ac:dyDescent="0.3">
      <c r="A579" s="35" t="s">
        <v>838</v>
      </c>
      <c r="B579" s="35">
        <v>349</v>
      </c>
    </row>
    <row r="580" spans="1:2" x14ac:dyDescent="0.3">
      <c r="A580" s="35" t="s">
        <v>839</v>
      </c>
      <c r="B580" s="35">
        <v>399</v>
      </c>
    </row>
    <row r="581" spans="1:2" x14ac:dyDescent="0.3">
      <c r="A581" s="35" t="s">
        <v>840</v>
      </c>
      <c r="B581" s="35">
        <v>199</v>
      </c>
    </row>
    <row r="582" spans="1:2" x14ac:dyDescent="0.3">
      <c r="A582" s="35" t="s">
        <v>841</v>
      </c>
      <c r="B582" s="35">
        <v>229</v>
      </c>
    </row>
    <row r="583" spans="1:2" x14ac:dyDescent="0.3">
      <c r="A583" s="35" t="s">
        <v>842</v>
      </c>
      <c r="B583" s="35">
        <v>149</v>
      </c>
    </row>
    <row r="584" spans="1:2" x14ac:dyDescent="0.3">
      <c r="A584" s="35" t="s">
        <v>843</v>
      </c>
      <c r="B584" s="35">
        <v>229</v>
      </c>
    </row>
    <row r="585" spans="1:2" x14ac:dyDescent="0.3">
      <c r="A585" s="35" t="s">
        <v>844</v>
      </c>
      <c r="B585" s="35">
        <v>229</v>
      </c>
    </row>
    <row r="586" spans="1:2" x14ac:dyDescent="0.3">
      <c r="A586" s="35" t="s">
        <v>845</v>
      </c>
      <c r="B586" s="35">
        <v>199</v>
      </c>
    </row>
    <row r="587" spans="1:2" x14ac:dyDescent="0.3">
      <c r="A587" s="35" t="s">
        <v>846</v>
      </c>
      <c r="B587" s="35">
        <v>299</v>
      </c>
    </row>
    <row r="588" spans="1:2" x14ac:dyDescent="0.3">
      <c r="A588" s="35" t="s">
        <v>847</v>
      </c>
      <c r="B588" s="35">
        <v>249</v>
      </c>
    </row>
    <row r="589" spans="1:2" x14ac:dyDescent="0.3">
      <c r="A589" s="35" t="s">
        <v>848</v>
      </c>
      <c r="B589" s="35">
        <v>149</v>
      </c>
    </row>
    <row r="590" spans="1:2" x14ac:dyDescent="0.3">
      <c r="A590" s="35" t="s">
        <v>849</v>
      </c>
      <c r="B590" s="35">
        <v>199</v>
      </c>
    </row>
    <row r="591" spans="1:2" x14ac:dyDescent="0.3">
      <c r="A591" s="35" t="s">
        <v>850</v>
      </c>
      <c r="B591" s="35">
        <v>199</v>
      </c>
    </row>
    <row r="592" spans="1:2" x14ac:dyDescent="0.3">
      <c r="A592" s="35" t="s">
        <v>851</v>
      </c>
      <c r="B592" s="35">
        <v>269</v>
      </c>
    </row>
    <row r="593" spans="1:2" x14ac:dyDescent="0.3">
      <c r="A593" s="35" t="s">
        <v>852</v>
      </c>
      <c r="B593" s="35">
        <v>229</v>
      </c>
    </row>
    <row r="594" spans="1:2" x14ac:dyDescent="0.3">
      <c r="A594" s="35" t="s">
        <v>853</v>
      </c>
      <c r="B594" s="35">
        <v>99</v>
      </c>
    </row>
    <row r="595" spans="1:2" x14ac:dyDescent="0.3">
      <c r="A595" s="35" t="s">
        <v>854</v>
      </c>
      <c r="B595" s="35">
        <v>199</v>
      </c>
    </row>
    <row r="596" spans="1:2" x14ac:dyDescent="0.3">
      <c r="A596" s="35" t="s">
        <v>855</v>
      </c>
      <c r="B596" s="35">
        <v>99</v>
      </c>
    </row>
    <row r="597" spans="1:2" x14ac:dyDescent="0.3">
      <c r="A597" s="35" t="s">
        <v>951</v>
      </c>
      <c r="B597" s="35">
        <v>79</v>
      </c>
    </row>
    <row r="598" spans="1:2" x14ac:dyDescent="0.3">
      <c r="A598" s="35" t="s">
        <v>952</v>
      </c>
      <c r="B598" s="35">
        <v>79</v>
      </c>
    </row>
    <row r="599" spans="1:2" x14ac:dyDescent="0.3">
      <c r="A599" s="35" t="s">
        <v>953</v>
      </c>
      <c r="B599" s="35">
        <v>129</v>
      </c>
    </row>
    <row r="600" spans="1:2" x14ac:dyDescent="0.3">
      <c r="A600" s="35" t="s">
        <v>954</v>
      </c>
      <c r="B600" s="35">
        <v>179</v>
      </c>
    </row>
    <row r="601" spans="1:2" x14ac:dyDescent="0.3">
      <c r="A601" s="35" t="s">
        <v>955</v>
      </c>
      <c r="B601" s="35">
        <v>149</v>
      </c>
    </row>
    <row r="602" spans="1:2" x14ac:dyDescent="0.3">
      <c r="A602" s="35" t="s">
        <v>956</v>
      </c>
      <c r="B602" s="35">
        <v>129</v>
      </c>
    </row>
    <row r="603" spans="1:2" x14ac:dyDescent="0.3">
      <c r="A603" s="35" t="s">
        <v>957</v>
      </c>
      <c r="B603" s="35">
        <v>99</v>
      </c>
    </row>
    <row r="604" spans="1:2" x14ac:dyDescent="0.3">
      <c r="A604" s="35" t="s">
        <v>958</v>
      </c>
      <c r="B604" s="35">
        <v>249</v>
      </c>
    </row>
    <row r="605" spans="1:2" x14ac:dyDescent="0.3">
      <c r="A605" s="35" t="s">
        <v>959</v>
      </c>
      <c r="B605" s="35">
        <v>269</v>
      </c>
    </row>
    <row r="606" spans="1:2" x14ac:dyDescent="0.3">
      <c r="A606" s="35" t="s">
        <v>960</v>
      </c>
      <c r="B606" s="35">
        <v>249</v>
      </c>
    </row>
    <row r="607" spans="1:2" x14ac:dyDescent="0.3">
      <c r="A607" s="35" t="s">
        <v>961</v>
      </c>
      <c r="B607" s="35">
        <v>299</v>
      </c>
    </row>
    <row r="608" spans="1:2" x14ac:dyDescent="0.3">
      <c r="A608" s="35" t="s">
        <v>962</v>
      </c>
      <c r="B608" s="35">
        <v>149</v>
      </c>
    </row>
    <row r="609" spans="1:2" x14ac:dyDescent="0.3">
      <c r="A609" s="35" t="s">
        <v>963</v>
      </c>
      <c r="B609" s="35">
        <v>149</v>
      </c>
    </row>
    <row r="610" spans="1:2" x14ac:dyDescent="0.3">
      <c r="A610" s="35" t="s">
        <v>964</v>
      </c>
      <c r="B610" s="35">
        <v>249</v>
      </c>
    </row>
    <row r="611" spans="1:2" x14ac:dyDescent="0.3">
      <c r="A611" s="35" t="s">
        <v>965</v>
      </c>
      <c r="B611" s="35">
        <v>149</v>
      </c>
    </row>
    <row r="612" spans="1:2" x14ac:dyDescent="0.3">
      <c r="A612" s="35" t="s">
        <v>966</v>
      </c>
      <c r="B612" s="35">
        <v>99</v>
      </c>
    </row>
    <row r="613" spans="1:2" x14ac:dyDescent="0.3">
      <c r="A613" s="35" t="s">
        <v>967</v>
      </c>
      <c r="B613" s="35">
        <v>149</v>
      </c>
    </row>
    <row r="614" spans="1:2" x14ac:dyDescent="0.3">
      <c r="A614" s="35" t="s">
        <v>968</v>
      </c>
      <c r="B614" s="35">
        <v>149</v>
      </c>
    </row>
    <row r="615" spans="1:2" x14ac:dyDescent="0.3">
      <c r="A615" s="35" t="s">
        <v>969</v>
      </c>
      <c r="B615" s="35">
        <v>99</v>
      </c>
    </row>
    <row r="616" spans="1:2" x14ac:dyDescent="0.3">
      <c r="A616" s="35" t="s">
        <v>970</v>
      </c>
      <c r="B616" s="35">
        <v>199</v>
      </c>
    </row>
    <row r="617" spans="1:2" x14ac:dyDescent="0.3">
      <c r="A617" s="35" t="s">
        <v>971</v>
      </c>
      <c r="B617" s="35">
        <v>149</v>
      </c>
    </row>
    <row r="618" spans="1:2" x14ac:dyDescent="0.3">
      <c r="A618" s="35" t="s">
        <v>972</v>
      </c>
      <c r="B618" s="35">
        <v>149</v>
      </c>
    </row>
    <row r="619" spans="1:2" x14ac:dyDescent="0.3">
      <c r="A619" s="35" t="s">
        <v>973</v>
      </c>
      <c r="B619" s="35">
        <v>199</v>
      </c>
    </row>
    <row r="620" spans="1:2" x14ac:dyDescent="0.3">
      <c r="A620" s="35" t="s">
        <v>974</v>
      </c>
      <c r="B620" s="35">
        <v>159</v>
      </c>
    </row>
    <row r="621" spans="1:2" x14ac:dyDescent="0.3">
      <c r="A621" s="35" t="s">
        <v>975</v>
      </c>
      <c r="B621" s="35">
        <v>199</v>
      </c>
    </row>
    <row r="622" spans="1:2" x14ac:dyDescent="0.3">
      <c r="A622" s="35" t="s">
        <v>976</v>
      </c>
      <c r="B622" s="35">
        <v>129</v>
      </c>
    </row>
    <row r="623" spans="1:2" x14ac:dyDescent="0.3">
      <c r="A623" s="35" t="s">
        <v>977</v>
      </c>
      <c r="B623" s="35">
        <v>149</v>
      </c>
    </row>
    <row r="624" spans="1:2" x14ac:dyDescent="0.3">
      <c r="A624" s="35" t="s">
        <v>978</v>
      </c>
      <c r="B624" s="35">
        <v>129</v>
      </c>
    </row>
    <row r="625" spans="1:2" x14ac:dyDescent="0.3">
      <c r="A625" s="35" t="s">
        <v>979</v>
      </c>
      <c r="B625" s="35">
        <v>209</v>
      </c>
    </row>
    <row r="626" spans="1:2" x14ac:dyDescent="0.3">
      <c r="A626" s="35" t="s">
        <v>980</v>
      </c>
      <c r="B626" s="35">
        <v>79</v>
      </c>
    </row>
    <row r="627" spans="1:2" x14ac:dyDescent="0.3">
      <c r="A627" s="35" t="s">
        <v>981</v>
      </c>
      <c r="B627" s="35">
        <v>399</v>
      </c>
    </row>
    <row r="628" spans="1:2" x14ac:dyDescent="0.3">
      <c r="A628" s="35" t="s">
        <v>982</v>
      </c>
      <c r="B628" s="35">
        <v>399</v>
      </c>
    </row>
    <row r="629" spans="1:2" x14ac:dyDescent="0.3">
      <c r="A629" s="35" t="s">
        <v>983</v>
      </c>
      <c r="B629" s="35">
        <v>399</v>
      </c>
    </row>
    <row r="630" spans="1:2" x14ac:dyDescent="0.3">
      <c r="A630" s="35" t="s">
        <v>984</v>
      </c>
      <c r="B630" s="35">
        <v>499</v>
      </c>
    </row>
    <row r="631" spans="1:2" x14ac:dyDescent="0.3">
      <c r="A631" s="35" t="s">
        <v>985</v>
      </c>
      <c r="B631" s="35">
        <v>499</v>
      </c>
    </row>
    <row r="632" spans="1:2" x14ac:dyDescent="0.3">
      <c r="A632" s="35" t="s">
        <v>986</v>
      </c>
      <c r="B632" s="35">
        <v>549</v>
      </c>
    </row>
    <row r="633" spans="1:2" x14ac:dyDescent="0.3">
      <c r="A633" s="35" t="s">
        <v>987</v>
      </c>
      <c r="B633" s="35">
        <v>499</v>
      </c>
    </row>
    <row r="634" spans="1:2" x14ac:dyDescent="0.3">
      <c r="A634" s="35" t="s">
        <v>988</v>
      </c>
      <c r="B634" s="35">
        <v>399</v>
      </c>
    </row>
    <row r="635" spans="1:2" x14ac:dyDescent="0.3">
      <c r="A635" s="35" t="s">
        <v>989</v>
      </c>
      <c r="B635" s="35">
        <v>529</v>
      </c>
    </row>
    <row r="636" spans="1:2" x14ac:dyDescent="0.3">
      <c r="A636" s="35" t="s">
        <v>990</v>
      </c>
      <c r="B636" s="35">
        <v>599</v>
      </c>
    </row>
    <row r="637" spans="1:2" x14ac:dyDescent="0.3">
      <c r="A637" s="35" t="s">
        <v>991</v>
      </c>
      <c r="B637" s="35">
        <v>499</v>
      </c>
    </row>
    <row r="638" spans="1:2" x14ac:dyDescent="0.3">
      <c r="A638" s="35" t="s">
        <v>992</v>
      </c>
      <c r="B638" s="35">
        <v>399</v>
      </c>
    </row>
    <row r="639" spans="1:2" x14ac:dyDescent="0.3">
      <c r="A639" s="35" t="s">
        <v>993</v>
      </c>
      <c r="B639" s="35">
        <v>449</v>
      </c>
    </row>
    <row r="640" spans="1:2" x14ac:dyDescent="0.3">
      <c r="A640" s="35" t="s">
        <v>994</v>
      </c>
      <c r="B640" s="35">
        <v>599</v>
      </c>
    </row>
    <row r="641" spans="1:2" x14ac:dyDescent="0.3">
      <c r="A641" s="35" t="s">
        <v>995</v>
      </c>
      <c r="B641" s="35">
        <v>499</v>
      </c>
    </row>
    <row r="642" spans="1:2" x14ac:dyDescent="0.3">
      <c r="A642" s="35" t="s">
        <v>996</v>
      </c>
      <c r="B642" s="35">
        <v>199</v>
      </c>
    </row>
    <row r="643" spans="1:2" x14ac:dyDescent="0.3">
      <c r="A643" s="35" t="s">
        <v>997</v>
      </c>
      <c r="B643" s="35">
        <v>159</v>
      </c>
    </row>
    <row r="644" spans="1:2" x14ac:dyDescent="0.3">
      <c r="A644" s="35" t="s">
        <v>998</v>
      </c>
      <c r="B644" s="35">
        <v>99</v>
      </c>
    </row>
    <row r="645" spans="1:2" x14ac:dyDescent="0.3">
      <c r="A645" s="35" t="s">
        <v>999</v>
      </c>
      <c r="B645" s="35">
        <v>149</v>
      </c>
    </row>
    <row r="646" spans="1:2" x14ac:dyDescent="0.3">
      <c r="A646" s="35" t="s">
        <v>1000</v>
      </c>
      <c r="B646" s="35">
        <v>199</v>
      </c>
    </row>
    <row r="647" spans="1:2" x14ac:dyDescent="0.3">
      <c r="A647" s="35" t="s">
        <v>1001</v>
      </c>
      <c r="B647" s="35">
        <v>159</v>
      </c>
    </row>
    <row r="648" spans="1:2" x14ac:dyDescent="0.3">
      <c r="A648" s="35" t="s">
        <v>1002</v>
      </c>
      <c r="B648" s="35">
        <v>249</v>
      </c>
    </row>
    <row r="649" spans="1:2" x14ac:dyDescent="0.3">
      <c r="A649" s="35" t="s">
        <v>1003</v>
      </c>
      <c r="B649" s="35">
        <v>149</v>
      </c>
    </row>
    <row r="650" spans="1:2" x14ac:dyDescent="0.3">
      <c r="A650" s="35" t="s">
        <v>1004</v>
      </c>
      <c r="B650" s="35">
        <v>199</v>
      </c>
    </row>
    <row r="651" spans="1:2" x14ac:dyDescent="0.3">
      <c r="A651" s="35" t="s">
        <v>1005</v>
      </c>
      <c r="B651" s="35">
        <v>399</v>
      </c>
    </row>
    <row r="652" spans="1:2" x14ac:dyDescent="0.3">
      <c r="A652" s="35" t="s">
        <v>1006</v>
      </c>
      <c r="B652" s="35">
        <v>349</v>
      </c>
    </row>
    <row r="653" spans="1:2" x14ac:dyDescent="0.3">
      <c r="A653" s="35" t="s">
        <v>1007</v>
      </c>
      <c r="B653" s="35">
        <v>249</v>
      </c>
    </row>
    <row r="654" spans="1:2" x14ac:dyDescent="0.3">
      <c r="A654" s="35" t="s">
        <v>1008</v>
      </c>
      <c r="B654" s="35">
        <v>169</v>
      </c>
    </row>
    <row r="655" spans="1:2" x14ac:dyDescent="0.3">
      <c r="A655" s="35" t="s">
        <v>1009</v>
      </c>
      <c r="B655" s="35">
        <v>149</v>
      </c>
    </row>
    <row r="656" spans="1:2" x14ac:dyDescent="0.3">
      <c r="A656" s="35" t="s">
        <v>1010</v>
      </c>
      <c r="B656" s="35">
        <v>249</v>
      </c>
    </row>
    <row r="657" spans="1:2" x14ac:dyDescent="0.3">
      <c r="A657" s="35" t="s">
        <v>1011</v>
      </c>
      <c r="B657" s="35">
        <v>179</v>
      </c>
    </row>
    <row r="658" spans="1:2" x14ac:dyDescent="0.3">
      <c r="A658" s="35" t="s">
        <v>1012</v>
      </c>
      <c r="B658" s="35">
        <v>249</v>
      </c>
    </row>
    <row r="659" spans="1:2" x14ac:dyDescent="0.3">
      <c r="A659" s="35" t="s">
        <v>1013</v>
      </c>
      <c r="B659" s="35">
        <v>149</v>
      </c>
    </row>
    <row r="660" spans="1:2" x14ac:dyDescent="0.3">
      <c r="A660" s="35" t="s">
        <v>1014</v>
      </c>
      <c r="B660" s="35">
        <v>129</v>
      </c>
    </row>
    <row r="661" spans="1:2" x14ac:dyDescent="0.3">
      <c r="A661" s="35" t="s">
        <v>1015</v>
      </c>
      <c r="B661" s="35">
        <v>149</v>
      </c>
    </row>
    <row r="662" spans="1:2" x14ac:dyDescent="0.3">
      <c r="A662" s="35" t="s">
        <v>1016</v>
      </c>
      <c r="B662" s="35">
        <v>299</v>
      </c>
    </row>
    <row r="663" spans="1:2" x14ac:dyDescent="0.3">
      <c r="A663" s="35" t="s">
        <v>1017</v>
      </c>
      <c r="B663" s="35">
        <v>269</v>
      </c>
    </row>
    <row r="664" spans="1:2" x14ac:dyDescent="0.3">
      <c r="A664" s="35" t="s">
        <v>1018</v>
      </c>
      <c r="B664" s="35">
        <v>329</v>
      </c>
    </row>
    <row r="665" spans="1:2" x14ac:dyDescent="0.3">
      <c r="A665" s="35" t="s">
        <v>1019</v>
      </c>
      <c r="B665" s="35">
        <v>499</v>
      </c>
    </row>
    <row r="666" spans="1:2" x14ac:dyDescent="0.3">
      <c r="A666" s="35" t="s">
        <v>1020</v>
      </c>
      <c r="B666" s="35">
        <v>549</v>
      </c>
    </row>
    <row r="667" spans="1:2" x14ac:dyDescent="0.3">
      <c r="A667" s="35" t="s">
        <v>1021</v>
      </c>
      <c r="B667" s="35">
        <v>549</v>
      </c>
    </row>
    <row r="668" spans="1:2" x14ac:dyDescent="0.3">
      <c r="A668" s="35" t="s">
        <v>1022</v>
      </c>
      <c r="B668" s="35">
        <v>399</v>
      </c>
    </row>
    <row r="669" spans="1:2" x14ac:dyDescent="0.3">
      <c r="A669" s="35" t="s">
        <v>1023</v>
      </c>
      <c r="B669" s="35">
        <v>499</v>
      </c>
    </row>
    <row r="670" spans="1:2" x14ac:dyDescent="0.3">
      <c r="A670" s="35" t="s">
        <v>1024</v>
      </c>
      <c r="B670" s="35">
        <v>399</v>
      </c>
    </row>
    <row r="671" spans="1:2" x14ac:dyDescent="0.3">
      <c r="A671" s="35" t="s">
        <v>1025</v>
      </c>
      <c r="B671" s="35">
        <v>349</v>
      </c>
    </row>
    <row r="672" spans="1:2" x14ac:dyDescent="0.3">
      <c r="A672" s="35" t="s">
        <v>1026</v>
      </c>
      <c r="B672" s="35">
        <v>199</v>
      </c>
    </row>
    <row r="673" spans="1:2" x14ac:dyDescent="0.3">
      <c r="A673" s="35" t="s">
        <v>1027</v>
      </c>
      <c r="B673" s="35">
        <v>399</v>
      </c>
    </row>
    <row r="674" spans="1:2" x14ac:dyDescent="0.3">
      <c r="A674" s="35" t="s">
        <v>1028</v>
      </c>
      <c r="B674" s="35">
        <v>299</v>
      </c>
    </row>
    <row r="675" spans="1:2" x14ac:dyDescent="0.3">
      <c r="A675" s="35" t="s">
        <v>1029</v>
      </c>
      <c r="B675" s="35">
        <v>249</v>
      </c>
    </row>
    <row r="676" spans="1:2" x14ac:dyDescent="0.3">
      <c r="A676" s="35" t="s">
        <v>1030</v>
      </c>
      <c r="B676" s="35">
        <v>199</v>
      </c>
    </row>
    <row r="677" spans="1:2" x14ac:dyDescent="0.3">
      <c r="A677" s="35" t="s">
        <v>1031</v>
      </c>
      <c r="B677" s="35">
        <v>249</v>
      </c>
    </row>
    <row r="678" spans="1:2" x14ac:dyDescent="0.3">
      <c r="A678" s="35" t="s">
        <v>1032</v>
      </c>
      <c r="B678" s="35">
        <v>149</v>
      </c>
    </row>
    <row r="679" spans="1:2" x14ac:dyDescent="0.3">
      <c r="A679" s="35" t="s">
        <v>1033</v>
      </c>
      <c r="B679" s="35">
        <v>249</v>
      </c>
    </row>
    <row r="680" spans="1:2" x14ac:dyDescent="0.3">
      <c r="A680" s="35" t="s">
        <v>1034</v>
      </c>
      <c r="B680" s="35">
        <v>499</v>
      </c>
    </row>
    <row r="681" spans="1:2" x14ac:dyDescent="0.3">
      <c r="A681" s="35" t="s">
        <v>1035</v>
      </c>
      <c r="B681" s="35">
        <v>209</v>
      </c>
    </row>
    <row r="682" spans="1:2" x14ac:dyDescent="0.3">
      <c r="A682" s="35" t="s">
        <v>1036</v>
      </c>
      <c r="B682" s="35">
        <v>149</v>
      </c>
    </row>
    <row r="683" spans="1:2" x14ac:dyDescent="0.3">
      <c r="A683" s="35" t="s">
        <v>1037</v>
      </c>
      <c r="B683" s="35">
        <v>149</v>
      </c>
    </row>
    <row r="684" spans="1:2" x14ac:dyDescent="0.3">
      <c r="A684" s="35" t="s">
        <v>1038</v>
      </c>
      <c r="B684" s="35">
        <v>149</v>
      </c>
    </row>
    <row r="685" spans="1:2" x14ac:dyDescent="0.3">
      <c r="A685" s="35" t="s">
        <v>1039</v>
      </c>
      <c r="B685" s="35">
        <v>129</v>
      </c>
    </row>
    <row r="686" spans="1:2" x14ac:dyDescent="0.3">
      <c r="A686" s="35" t="s">
        <v>1040</v>
      </c>
      <c r="B686" s="35">
        <v>199</v>
      </c>
    </row>
    <row r="687" spans="1:2" x14ac:dyDescent="0.3">
      <c r="A687" s="35" t="s">
        <v>1041</v>
      </c>
      <c r="B687" s="35">
        <v>149</v>
      </c>
    </row>
    <row r="688" spans="1:2" x14ac:dyDescent="0.3">
      <c r="A688" s="35" t="s">
        <v>1042</v>
      </c>
      <c r="B688" s="35">
        <v>129</v>
      </c>
    </row>
    <row r="689" spans="1:2" x14ac:dyDescent="0.3">
      <c r="A689" s="35" t="s">
        <v>1043</v>
      </c>
      <c r="B689" s="35">
        <v>199</v>
      </c>
    </row>
    <row r="690" spans="1:2" x14ac:dyDescent="0.3">
      <c r="A690" s="35" t="s">
        <v>1044</v>
      </c>
      <c r="B690" s="35">
        <v>249</v>
      </c>
    </row>
    <row r="691" spans="1:2" x14ac:dyDescent="0.3">
      <c r="A691" s="35" t="s">
        <v>55</v>
      </c>
      <c r="B691" s="35">
        <v>179</v>
      </c>
    </row>
    <row r="692" spans="1:2" x14ac:dyDescent="0.3">
      <c r="A692" s="35" t="s">
        <v>56</v>
      </c>
      <c r="B692" s="35">
        <v>249</v>
      </c>
    </row>
    <row r="693" spans="1:2" x14ac:dyDescent="0.3">
      <c r="A693" s="35" t="s">
        <v>57</v>
      </c>
      <c r="B693" s="35">
        <v>299</v>
      </c>
    </row>
    <row r="694" spans="1:2" x14ac:dyDescent="0.3">
      <c r="A694" s="35" t="s">
        <v>58</v>
      </c>
      <c r="B694" s="35">
        <v>149</v>
      </c>
    </row>
    <row r="695" spans="1:2" x14ac:dyDescent="0.3">
      <c r="A695" s="35" t="s">
        <v>59</v>
      </c>
      <c r="B695" s="35">
        <v>249</v>
      </c>
    </row>
    <row r="696" spans="1:2" x14ac:dyDescent="0.3">
      <c r="A696" s="35" t="s">
        <v>60</v>
      </c>
      <c r="B696" s="35">
        <v>249</v>
      </c>
    </row>
    <row r="697" spans="1:2" x14ac:dyDescent="0.3">
      <c r="A697" s="35" t="s">
        <v>61</v>
      </c>
      <c r="B697" s="35">
        <v>249</v>
      </c>
    </row>
    <row r="698" spans="1:2" x14ac:dyDescent="0.3">
      <c r="A698" s="35" t="s">
        <v>62</v>
      </c>
      <c r="B698" s="35">
        <v>249</v>
      </c>
    </row>
    <row r="699" spans="1:2" x14ac:dyDescent="0.3">
      <c r="A699" s="35" t="s">
        <v>63</v>
      </c>
      <c r="B699" s="35">
        <v>249</v>
      </c>
    </row>
    <row r="700" spans="1:2" x14ac:dyDescent="0.3">
      <c r="A700" s="35" t="s">
        <v>64</v>
      </c>
      <c r="B700" s="35">
        <v>249</v>
      </c>
    </row>
    <row r="701" spans="1:2" x14ac:dyDescent="0.3">
      <c r="A701" s="35" t="s">
        <v>65</v>
      </c>
      <c r="B701" s="35">
        <v>249</v>
      </c>
    </row>
    <row r="702" spans="1:2" x14ac:dyDescent="0.3">
      <c r="A702" s="35" t="s">
        <v>66</v>
      </c>
      <c r="B702" s="35">
        <v>249</v>
      </c>
    </row>
    <row r="703" spans="1:2" x14ac:dyDescent="0.3">
      <c r="A703" s="35" t="s">
        <v>67</v>
      </c>
      <c r="B703" s="35">
        <v>249</v>
      </c>
    </row>
    <row r="704" spans="1:2" x14ac:dyDescent="0.3">
      <c r="A704" s="35" t="s">
        <v>68</v>
      </c>
      <c r="B704" s="35">
        <v>249</v>
      </c>
    </row>
    <row r="705" spans="1:2" x14ac:dyDescent="0.3">
      <c r="A705" s="35" t="s">
        <v>69</v>
      </c>
      <c r="B705" s="35">
        <v>249</v>
      </c>
    </row>
    <row r="706" spans="1:2" x14ac:dyDescent="0.3">
      <c r="A706" s="35" t="s">
        <v>70</v>
      </c>
      <c r="B706" s="35">
        <v>249</v>
      </c>
    </row>
    <row r="707" spans="1:2" x14ac:dyDescent="0.3">
      <c r="A707" s="35" t="s">
        <v>71</v>
      </c>
      <c r="B707" s="35">
        <v>249</v>
      </c>
    </row>
    <row r="708" spans="1:2" x14ac:dyDescent="0.3">
      <c r="A708" s="35" t="s">
        <v>72</v>
      </c>
      <c r="B708" s="35">
        <v>329</v>
      </c>
    </row>
    <row r="709" spans="1:2" x14ac:dyDescent="0.3">
      <c r="A709" s="35" t="s">
        <v>73</v>
      </c>
      <c r="B709" s="35">
        <v>199</v>
      </c>
    </row>
    <row r="710" spans="1:2" x14ac:dyDescent="0.3">
      <c r="A710" s="35" t="s">
        <v>74</v>
      </c>
      <c r="B710" s="35">
        <v>249</v>
      </c>
    </row>
    <row r="711" spans="1:2" x14ac:dyDescent="0.3">
      <c r="A711" s="35" t="s">
        <v>75</v>
      </c>
      <c r="B711" s="35">
        <v>490.26</v>
      </c>
    </row>
    <row r="712" spans="1:2" x14ac:dyDescent="0.3">
      <c r="A712" s="35" t="s">
        <v>76</v>
      </c>
      <c r="B712" s="35">
        <v>249</v>
      </c>
    </row>
    <row r="713" spans="1:2" x14ac:dyDescent="0.3">
      <c r="A713" s="35" t="s">
        <v>77</v>
      </c>
      <c r="B713" s="35">
        <v>249</v>
      </c>
    </row>
    <row r="714" spans="1:2" x14ac:dyDescent="0.3">
      <c r="A714" s="35" t="s">
        <v>78</v>
      </c>
      <c r="B714" s="35">
        <v>119</v>
      </c>
    </row>
    <row r="715" spans="1:2" x14ac:dyDescent="0.3">
      <c r="A715" s="35" t="s">
        <v>79</v>
      </c>
      <c r="B715" s="35">
        <v>199</v>
      </c>
    </row>
    <row r="716" spans="1:2" x14ac:dyDescent="0.3">
      <c r="A716" s="35" t="s">
        <v>80</v>
      </c>
      <c r="B716" s="35">
        <v>199</v>
      </c>
    </row>
    <row r="717" spans="1:2" x14ac:dyDescent="0.3">
      <c r="A717" s="35" t="s">
        <v>81</v>
      </c>
      <c r="B717" s="35">
        <v>249</v>
      </c>
    </row>
    <row r="718" spans="1:2" x14ac:dyDescent="0.3">
      <c r="A718" s="35" t="s">
        <v>82</v>
      </c>
      <c r="B718" s="35">
        <v>99</v>
      </c>
    </row>
    <row r="719" spans="1:2" x14ac:dyDescent="0.3">
      <c r="A719" s="35" t="s">
        <v>83</v>
      </c>
      <c r="B719" s="35">
        <v>299</v>
      </c>
    </row>
    <row r="720" spans="1:2" x14ac:dyDescent="0.3">
      <c r="A720" s="35" t="s">
        <v>84</v>
      </c>
      <c r="B720" s="35">
        <v>249</v>
      </c>
    </row>
    <row r="721" spans="1:2" x14ac:dyDescent="0.3">
      <c r="A721" s="35" t="s">
        <v>85</v>
      </c>
      <c r="B721" s="35">
        <v>99</v>
      </c>
    </row>
    <row r="722" spans="1:2" x14ac:dyDescent="0.3">
      <c r="A722" s="35" t="s">
        <v>86</v>
      </c>
      <c r="B722" s="35">
        <v>399</v>
      </c>
    </row>
    <row r="723" spans="1:2" x14ac:dyDescent="0.3">
      <c r="A723" s="35" t="s">
        <v>87</v>
      </c>
      <c r="B723" s="35">
        <v>249</v>
      </c>
    </row>
    <row r="724" spans="1:2" x14ac:dyDescent="0.3">
      <c r="A724" s="35" t="s">
        <v>88</v>
      </c>
      <c r="B724" s="35">
        <v>299</v>
      </c>
    </row>
    <row r="725" spans="1:2" x14ac:dyDescent="0.3">
      <c r="A725" s="35" t="s">
        <v>89</v>
      </c>
      <c r="B725" s="35">
        <v>178.53</v>
      </c>
    </row>
    <row r="726" spans="1:2" x14ac:dyDescent="0.3">
      <c r="A726" s="35" t="s">
        <v>90</v>
      </c>
      <c r="B726" s="35">
        <v>249</v>
      </c>
    </row>
    <row r="727" spans="1:2" x14ac:dyDescent="0.3">
      <c r="A727" s="35" t="s">
        <v>91</v>
      </c>
      <c r="B727" s="35">
        <v>99</v>
      </c>
    </row>
    <row r="728" spans="1:2" x14ac:dyDescent="0.3">
      <c r="A728" s="35" t="s">
        <v>92</v>
      </c>
      <c r="B728" s="35">
        <v>99</v>
      </c>
    </row>
    <row r="729" spans="1:2" x14ac:dyDescent="0.3">
      <c r="A729" s="35" t="s">
        <v>93</v>
      </c>
      <c r="B729" s="35">
        <v>99</v>
      </c>
    </row>
    <row r="730" spans="1:2" x14ac:dyDescent="0.3">
      <c r="A730" s="35" t="s">
        <v>94</v>
      </c>
      <c r="B730" s="35">
        <v>99</v>
      </c>
    </row>
    <row r="731" spans="1:2" x14ac:dyDescent="0.3">
      <c r="A731" s="35" t="s">
        <v>95</v>
      </c>
      <c r="B731" s="35">
        <v>129</v>
      </c>
    </row>
    <row r="732" spans="1:2" x14ac:dyDescent="0.3">
      <c r="A732" s="35" t="s">
        <v>96</v>
      </c>
      <c r="B732" s="35">
        <v>129</v>
      </c>
    </row>
    <row r="733" spans="1:2" x14ac:dyDescent="0.3">
      <c r="A733" s="35" t="s">
        <v>97</v>
      </c>
      <c r="B733" s="35">
        <v>199</v>
      </c>
    </row>
    <row r="734" spans="1:2" x14ac:dyDescent="0.3">
      <c r="A734" s="35" t="s">
        <v>98</v>
      </c>
      <c r="B734" s="35">
        <v>399</v>
      </c>
    </row>
    <row r="735" spans="1:2" x14ac:dyDescent="0.3">
      <c r="A735" s="35" t="s">
        <v>99</v>
      </c>
      <c r="B735" s="35">
        <v>119</v>
      </c>
    </row>
    <row r="736" spans="1:2" x14ac:dyDescent="0.3">
      <c r="A736" s="35" t="s">
        <v>100</v>
      </c>
      <c r="B736" s="35">
        <v>199</v>
      </c>
    </row>
    <row r="737" spans="1:2" x14ac:dyDescent="0.3">
      <c r="A737" s="35" t="s">
        <v>101</v>
      </c>
      <c r="B737" s="35">
        <v>199</v>
      </c>
    </row>
    <row r="738" spans="1:2" x14ac:dyDescent="0.3">
      <c r="A738" s="35" t="s">
        <v>102</v>
      </c>
      <c r="B738" s="35">
        <v>139</v>
      </c>
    </row>
    <row r="739" spans="1:2" x14ac:dyDescent="0.3">
      <c r="A739" s="35" t="s">
        <v>103</v>
      </c>
      <c r="B739" s="35">
        <v>299</v>
      </c>
    </row>
    <row r="740" spans="1:2" x14ac:dyDescent="0.3">
      <c r="A740" s="35" t="s">
        <v>104</v>
      </c>
      <c r="B740" s="35">
        <v>399</v>
      </c>
    </row>
    <row r="741" spans="1:2" x14ac:dyDescent="0.3">
      <c r="A741" s="35" t="s">
        <v>105</v>
      </c>
      <c r="B741" s="35">
        <v>249</v>
      </c>
    </row>
    <row r="742" spans="1:2" x14ac:dyDescent="0.3">
      <c r="A742" s="35" t="s">
        <v>106</v>
      </c>
      <c r="B742" s="35">
        <v>99</v>
      </c>
    </row>
    <row r="743" spans="1:2" x14ac:dyDescent="0.3">
      <c r="A743" s="35" t="s">
        <v>107</v>
      </c>
      <c r="B743" s="35">
        <v>299</v>
      </c>
    </row>
    <row r="744" spans="1:2" x14ac:dyDescent="0.3">
      <c r="A744" s="35" t="s">
        <v>108</v>
      </c>
      <c r="B744" s="35">
        <v>279</v>
      </c>
    </row>
    <row r="745" spans="1:2" x14ac:dyDescent="0.3">
      <c r="A745" s="35" t="s">
        <v>109</v>
      </c>
      <c r="B745" s="35">
        <v>419</v>
      </c>
    </row>
    <row r="746" spans="1:2" x14ac:dyDescent="0.3">
      <c r="A746" s="35" t="s">
        <v>110</v>
      </c>
      <c r="B746" s="35">
        <v>229</v>
      </c>
    </row>
    <row r="747" spans="1:2" x14ac:dyDescent="0.3">
      <c r="A747" s="35" t="s">
        <v>111</v>
      </c>
      <c r="B747" s="35">
        <v>199</v>
      </c>
    </row>
    <row r="748" spans="1:2" x14ac:dyDescent="0.3">
      <c r="A748" s="35" t="s">
        <v>112</v>
      </c>
      <c r="B748" s="35">
        <v>159</v>
      </c>
    </row>
    <row r="749" spans="1:2" x14ac:dyDescent="0.3">
      <c r="A749" s="35" t="s">
        <v>113</v>
      </c>
      <c r="B749" s="35">
        <v>129</v>
      </c>
    </row>
    <row r="750" spans="1:2" x14ac:dyDescent="0.3">
      <c r="A750" s="35" t="s">
        <v>114</v>
      </c>
      <c r="B750" s="35">
        <v>199</v>
      </c>
    </row>
    <row r="751" spans="1:2" x14ac:dyDescent="0.3">
      <c r="A751" s="35" t="s">
        <v>115</v>
      </c>
      <c r="B751" s="35">
        <v>249</v>
      </c>
    </row>
    <row r="752" spans="1:2" x14ac:dyDescent="0.3">
      <c r="A752" s="35" t="s">
        <v>116</v>
      </c>
      <c r="B752" s="35">
        <v>299</v>
      </c>
    </row>
    <row r="753" spans="1:2" x14ac:dyDescent="0.3">
      <c r="A753" s="35" t="s">
        <v>117</v>
      </c>
      <c r="B753" s="35">
        <v>149</v>
      </c>
    </row>
    <row r="754" spans="1:2" x14ac:dyDescent="0.3">
      <c r="A754" s="35" t="s">
        <v>118</v>
      </c>
      <c r="B754" s="35">
        <v>179</v>
      </c>
    </row>
    <row r="755" spans="1:2" x14ac:dyDescent="0.3">
      <c r="A755" s="35" t="s">
        <v>119</v>
      </c>
      <c r="B755" s="35">
        <v>329</v>
      </c>
    </row>
    <row r="756" spans="1:2" x14ac:dyDescent="0.3">
      <c r="A756" s="35" t="s">
        <v>120</v>
      </c>
      <c r="B756" s="35">
        <v>209</v>
      </c>
    </row>
    <row r="757" spans="1:2" x14ac:dyDescent="0.3">
      <c r="A757" s="35" t="s">
        <v>121</v>
      </c>
      <c r="B757" s="35">
        <v>299</v>
      </c>
    </row>
    <row r="758" spans="1:2" x14ac:dyDescent="0.3">
      <c r="A758" s="35" t="s">
        <v>122</v>
      </c>
      <c r="B758" s="35">
        <v>199</v>
      </c>
    </row>
    <row r="759" spans="1:2" x14ac:dyDescent="0.3">
      <c r="A759" s="35" t="s">
        <v>123</v>
      </c>
      <c r="B759" s="35">
        <v>199</v>
      </c>
    </row>
    <row r="760" spans="1:2" x14ac:dyDescent="0.3">
      <c r="A760" s="35" t="s">
        <v>124</v>
      </c>
      <c r="B760" s="35">
        <v>269</v>
      </c>
    </row>
    <row r="761" spans="1:2" x14ac:dyDescent="0.3">
      <c r="A761" s="35" t="s">
        <v>125</v>
      </c>
      <c r="B761" s="35">
        <v>299</v>
      </c>
    </row>
    <row r="762" spans="1:2" x14ac:dyDescent="0.3">
      <c r="A762" s="35" t="s">
        <v>126</v>
      </c>
      <c r="B762" s="35">
        <v>159</v>
      </c>
    </row>
    <row r="763" spans="1:2" x14ac:dyDescent="0.3">
      <c r="A763" s="35" t="s">
        <v>127</v>
      </c>
      <c r="B763" s="35">
        <v>149</v>
      </c>
    </row>
    <row r="764" spans="1:2" x14ac:dyDescent="0.3">
      <c r="A764" s="35" t="s">
        <v>128</v>
      </c>
      <c r="B764" s="35">
        <v>249</v>
      </c>
    </row>
    <row r="765" spans="1:2" x14ac:dyDescent="0.3">
      <c r="A765" s="35" t="s">
        <v>129</v>
      </c>
      <c r="B765" s="35">
        <v>129</v>
      </c>
    </row>
    <row r="766" spans="1:2" x14ac:dyDescent="0.3">
      <c r="A766" s="35" t="s">
        <v>130</v>
      </c>
      <c r="B766" s="35">
        <v>249</v>
      </c>
    </row>
    <row r="767" spans="1:2" x14ac:dyDescent="0.3">
      <c r="A767" s="35" t="s">
        <v>131</v>
      </c>
      <c r="B767" s="35">
        <v>129</v>
      </c>
    </row>
    <row r="768" spans="1:2" x14ac:dyDescent="0.3">
      <c r="A768" s="35" t="s">
        <v>132</v>
      </c>
      <c r="B768" s="35">
        <v>199</v>
      </c>
    </row>
    <row r="769" spans="1:2" x14ac:dyDescent="0.3">
      <c r="A769" s="35" t="s">
        <v>133</v>
      </c>
      <c r="B769" s="35">
        <v>399</v>
      </c>
    </row>
    <row r="770" spans="1:2" x14ac:dyDescent="0.3">
      <c r="A770" s="35" t="s">
        <v>134</v>
      </c>
      <c r="B770" s="35">
        <v>149</v>
      </c>
    </row>
    <row r="771" spans="1:2" x14ac:dyDescent="0.3">
      <c r="A771" s="35" t="s">
        <v>135</v>
      </c>
      <c r="B771" s="35">
        <v>129</v>
      </c>
    </row>
    <row r="772" spans="1:2" x14ac:dyDescent="0.3">
      <c r="A772" s="35" t="s">
        <v>136</v>
      </c>
      <c r="B772" s="35">
        <v>149</v>
      </c>
    </row>
    <row r="773" spans="1:2" x14ac:dyDescent="0.3">
      <c r="A773" s="35" t="s">
        <v>137</v>
      </c>
      <c r="B773" s="35">
        <v>109</v>
      </c>
    </row>
    <row r="774" spans="1:2" x14ac:dyDescent="0.3">
      <c r="A774" s="35" t="s">
        <v>138</v>
      </c>
      <c r="B774" s="35">
        <v>169</v>
      </c>
    </row>
    <row r="775" spans="1:2" x14ac:dyDescent="0.3">
      <c r="A775" s="35" t="s">
        <v>139</v>
      </c>
      <c r="B775" s="35">
        <v>249</v>
      </c>
    </row>
    <row r="776" spans="1:2" x14ac:dyDescent="0.3">
      <c r="A776" s="35" t="s">
        <v>140</v>
      </c>
      <c r="B776" s="35">
        <v>209</v>
      </c>
    </row>
    <row r="777" spans="1:2" x14ac:dyDescent="0.3">
      <c r="A777" s="35" t="s">
        <v>141</v>
      </c>
      <c r="B777" s="35">
        <v>249</v>
      </c>
    </row>
    <row r="778" spans="1:2" x14ac:dyDescent="0.3">
      <c r="A778" s="35" t="s">
        <v>142</v>
      </c>
      <c r="B778" s="35">
        <v>129</v>
      </c>
    </row>
    <row r="779" spans="1:2" x14ac:dyDescent="0.3">
      <c r="A779" s="35" t="s">
        <v>143</v>
      </c>
      <c r="B779" s="35">
        <v>149</v>
      </c>
    </row>
    <row r="780" spans="1:2" x14ac:dyDescent="0.3">
      <c r="A780" s="35" t="s">
        <v>144</v>
      </c>
      <c r="B780" s="35">
        <v>149</v>
      </c>
    </row>
    <row r="781" spans="1:2" x14ac:dyDescent="0.3">
      <c r="A781" s="35" t="s">
        <v>145</v>
      </c>
      <c r="B781" s="35">
        <v>109</v>
      </c>
    </row>
    <row r="782" spans="1:2" x14ac:dyDescent="0.3">
      <c r="A782" s="35" t="s">
        <v>146</v>
      </c>
      <c r="B782" s="35">
        <v>229</v>
      </c>
    </row>
    <row r="783" spans="1:2" x14ac:dyDescent="0.3">
      <c r="A783" s="35" t="s">
        <v>147</v>
      </c>
      <c r="B783" s="35">
        <v>139</v>
      </c>
    </row>
    <row r="784" spans="1:2" x14ac:dyDescent="0.3">
      <c r="A784" s="35" t="s">
        <v>148</v>
      </c>
      <c r="B784" s="35">
        <v>149</v>
      </c>
    </row>
    <row r="785" spans="1:2" x14ac:dyDescent="0.3">
      <c r="A785" s="35" t="s">
        <v>179</v>
      </c>
      <c r="B785" s="35">
        <v>159</v>
      </c>
    </row>
    <row r="786" spans="1:2" x14ac:dyDescent="0.3">
      <c r="A786" s="35" t="s">
        <v>180</v>
      </c>
      <c r="B786" s="35">
        <v>299</v>
      </c>
    </row>
    <row r="787" spans="1:2" x14ac:dyDescent="0.3">
      <c r="A787" s="35" t="s">
        <v>181</v>
      </c>
      <c r="B787" s="35">
        <v>349</v>
      </c>
    </row>
    <row r="788" spans="1:2" x14ac:dyDescent="0.3">
      <c r="A788" s="35" t="s">
        <v>182</v>
      </c>
      <c r="B788" s="35">
        <v>249</v>
      </c>
    </row>
    <row r="789" spans="1:2" x14ac:dyDescent="0.3">
      <c r="A789" s="35" t="s">
        <v>332</v>
      </c>
      <c r="B789" s="35">
        <v>249</v>
      </c>
    </row>
    <row r="790" spans="1:2" x14ac:dyDescent="0.3">
      <c r="A790" s="35" t="s">
        <v>333</v>
      </c>
      <c r="B790" s="35">
        <v>249</v>
      </c>
    </row>
    <row r="791" spans="1:2" x14ac:dyDescent="0.3">
      <c r="A791" s="35" t="s">
        <v>453</v>
      </c>
      <c r="B791" s="35">
        <v>149</v>
      </c>
    </row>
    <row r="792" spans="1:2" x14ac:dyDescent="0.3">
      <c r="A792" s="35" t="s">
        <v>334</v>
      </c>
      <c r="B792" s="35">
        <v>169</v>
      </c>
    </row>
    <row r="793" spans="1:2" x14ac:dyDescent="0.3">
      <c r="A793" s="35" t="s">
        <v>335</v>
      </c>
      <c r="B793" s="35">
        <v>229</v>
      </c>
    </row>
    <row r="794" spans="1:2" x14ac:dyDescent="0.3">
      <c r="A794" s="35" t="s">
        <v>336</v>
      </c>
      <c r="B794" s="35">
        <v>299</v>
      </c>
    </row>
    <row r="795" spans="1:2" x14ac:dyDescent="0.3">
      <c r="A795" s="35" t="s">
        <v>337</v>
      </c>
      <c r="B795" s="35">
        <v>149</v>
      </c>
    </row>
    <row r="796" spans="1:2" x14ac:dyDescent="0.3">
      <c r="A796" s="35" t="s">
        <v>338</v>
      </c>
      <c r="B796" s="35">
        <v>99</v>
      </c>
    </row>
    <row r="797" spans="1:2" x14ac:dyDescent="0.3">
      <c r="A797" s="35" t="s">
        <v>339</v>
      </c>
      <c r="B797" s="35">
        <v>299</v>
      </c>
    </row>
    <row r="798" spans="1:2" x14ac:dyDescent="0.3">
      <c r="A798" s="35" t="s">
        <v>340</v>
      </c>
      <c r="B798" s="35">
        <v>299</v>
      </c>
    </row>
    <row r="799" spans="1:2" x14ac:dyDescent="0.3">
      <c r="A799" s="35" t="s">
        <v>341</v>
      </c>
      <c r="B799" s="35">
        <v>249</v>
      </c>
    </row>
    <row r="800" spans="1:2" x14ac:dyDescent="0.3">
      <c r="A800" s="35" t="s">
        <v>342</v>
      </c>
      <c r="B800" s="35">
        <v>159</v>
      </c>
    </row>
    <row r="801" spans="1:2" x14ac:dyDescent="0.3">
      <c r="A801" s="35" t="s">
        <v>343</v>
      </c>
      <c r="B801" s="35">
        <v>299</v>
      </c>
    </row>
    <row r="802" spans="1:2" x14ac:dyDescent="0.3">
      <c r="A802" s="35" t="s">
        <v>344</v>
      </c>
      <c r="B802" s="35">
        <v>299</v>
      </c>
    </row>
    <row r="803" spans="1:2" x14ac:dyDescent="0.3">
      <c r="A803" s="35" t="s">
        <v>345</v>
      </c>
      <c r="B803" s="35">
        <v>229</v>
      </c>
    </row>
    <row r="804" spans="1:2" x14ac:dyDescent="0.3">
      <c r="A804" s="35" t="s">
        <v>346</v>
      </c>
      <c r="B804" s="35">
        <v>249</v>
      </c>
    </row>
    <row r="805" spans="1:2" x14ac:dyDescent="0.3">
      <c r="A805" s="35" t="s">
        <v>347</v>
      </c>
      <c r="B805" s="35">
        <v>249</v>
      </c>
    </row>
    <row r="806" spans="1:2" x14ac:dyDescent="0.3">
      <c r="A806" s="35" t="s">
        <v>348</v>
      </c>
      <c r="B806" s="35">
        <v>249</v>
      </c>
    </row>
    <row r="807" spans="1:2" x14ac:dyDescent="0.3">
      <c r="A807" s="35" t="s">
        <v>349</v>
      </c>
      <c r="B807" s="35">
        <v>249</v>
      </c>
    </row>
    <row r="808" spans="1:2" x14ac:dyDescent="0.3">
      <c r="A808" s="35" t="s">
        <v>350</v>
      </c>
      <c r="B808" s="35">
        <v>99</v>
      </c>
    </row>
    <row r="809" spans="1:2" x14ac:dyDescent="0.3">
      <c r="A809" s="35" t="s">
        <v>454</v>
      </c>
      <c r="B809" s="35">
        <v>199</v>
      </c>
    </row>
    <row r="810" spans="1:2" x14ac:dyDescent="0.3">
      <c r="A810" s="35" t="s">
        <v>351</v>
      </c>
      <c r="B810" s="35">
        <v>199</v>
      </c>
    </row>
    <row r="811" spans="1:2" x14ac:dyDescent="0.3">
      <c r="A811" s="35" t="s">
        <v>352</v>
      </c>
      <c r="B811" s="35">
        <v>249</v>
      </c>
    </row>
    <row r="812" spans="1:2" x14ac:dyDescent="0.3">
      <c r="A812" s="35" t="s">
        <v>353</v>
      </c>
      <c r="B812" s="35">
        <v>159</v>
      </c>
    </row>
    <row r="813" spans="1:2" x14ac:dyDescent="0.3">
      <c r="A813" s="35" t="s">
        <v>354</v>
      </c>
      <c r="B813" s="35">
        <v>369</v>
      </c>
    </row>
    <row r="814" spans="1:2" x14ac:dyDescent="0.3">
      <c r="A814" s="35" t="s">
        <v>355</v>
      </c>
      <c r="B814" s="35">
        <v>199</v>
      </c>
    </row>
    <row r="815" spans="1:2" x14ac:dyDescent="0.3">
      <c r="A815" s="35" t="s">
        <v>356</v>
      </c>
      <c r="B815" s="35">
        <v>249</v>
      </c>
    </row>
    <row r="816" spans="1:2" x14ac:dyDescent="0.3">
      <c r="A816" s="35" t="s">
        <v>357</v>
      </c>
      <c r="B816" s="35">
        <v>129</v>
      </c>
    </row>
    <row r="817" spans="1:2" x14ac:dyDescent="0.3">
      <c r="A817" s="35" t="s">
        <v>358</v>
      </c>
      <c r="B817" s="35">
        <v>129</v>
      </c>
    </row>
    <row r="818" spans="1:2" x14ac:dyDescent="0.3">
      <c r="A818" s="35" t="s">
        <v>359</v>
      </c>
      <c r="B818" s="35">
        <v>249</v>
      </c>
    </row>
    <row r="819" spans="1:2" x14ac:dyDescent="0.3">
      <c r="A819" s="35" t="s">
        <v>360</v>
      </c>
      <c r="B819" s="35">
        <v>349</v>
      </c>
    </row>
    <row r="820" spans="1:2" x14ac:dyDescent="0.3">
      <c r="A820" s="35" t="s">
        <v>361</v>
      </c>
      <c r="B820" s="35">
        <v>249</v>
      </c>
    </row>
    <row r="821" spans="1:2" x14ac:dyDescent="0.3">
      <c r="A821" s="35" t="s">
        <v>362</v>
      </c>
      <c r="B821" s="35">
        <v>399</v>
      </c>
    </row>
    <row r="822" spans="1:2" x14ac:dyDescent="0.3">
      <c r="A822" s="35" t="s">
        <v>363</v>
      </c>
      <c r="B822" s="35">
        <v>249</v>
      </c>
    </row>
    <row r="823" spans="1:2" x14ac:dyDescent="0.3">
      <c r="A823" s="35" t="s">
        <v>364</v>
      </c>
      <c r="B823" s="35">
        <v>229</v>
      </c>
    </row>
    <row r="824" spans="1:2" x14ac:dyDescent="0.3">
      <c r="A824" s="35" t="s">
        <v>365</v>
      </c>
      <c r="B824" s="35">
        <v>149</v>
      </c>
    </row>
    <row r="825" spans="1:2" x14ac:dyDescent="0.3">
      <c r="A825" s="35" t="s">
        <v>366</v>
      </c>
      <c r="B825" s="35">
        <v>99</v>
      </c>
    </row>
    <row r="826" spans="1:2" x14ac:dyDescent="0.3">
      <c r="A826" s="35" t="s">
        <v>367</v>
      </c>
      <c r="B826" s="35">
        <v>299</v>
      </c>
    </row>
    <row r="827" spans="1:2" x14ac:dyDescent="0.3">
      <c r="A827" s="35" t="s">
        <v>368</v>
      </c>
      <c r="B827" s="35">
        <v>149</v>
      </c>
    </row>
    <row r="828" spans="1:2" x14ac:dyDescent="0.3">
      <c r="A828" s="35" t="s">
        <v>369</v>
      </c>
      <c r="B828" s="35">
        <v>349</v>
      </c>
    </row>
    <row r="829" spans="1:2" x14ac:dyDescent="0.3">
      <c r="A829" s="35" t="s">
        <v>370</v>
      </c>
      <c r="B829" s="35">
        <v>199</v>
      </c>
    </row>
    <row r="830" spans="1:2" x14ac:dyDescent="0.3">
      <c r="A830" s="35" t="s">
        <v>371</v>
      </c>
      <c r="B830" s="35">
        <v>299</v>
      </c>
    </row>
    <row r="831" spans="1:2" x14ac:dyDescent="0.3">
      <c r="A831" s="35" t="s">
        <v>372</v>
      </c>
      <c r="B831" s="35">
        <v>149</v>
      </c>
    </row>
    <row r="832" spans="1:2" x14ac:dyDescent="0.3">
      <c r="A832" s="35" t="s">
        <v>373</v>
      </c>
      <c r="B832" s="35">
        <v>199</v>
      </c>
    </row>
    <row r="833" spans="1:2" x14ac:dyDescent="0.3">
      <c r="A833" s="35" t="s">
        <v>374</v>
      </c>
      <c r="B833" s="35">
        <v>99</v>
      </c>
    </row>
    <row r="834" spans="1:2" x14ac:dyDescent="0.3">
      <c r="A834" s="35" t="s">
        <v>375</v>
      </c>
      <c r="B834" s="35">
        <v>99</v>
      </c>
    </row>
    <row r="835" spans="1:2" x14ac:dyDescent="0.3">
      <c r="A835" s="35" t="s">
        <v>376</v>
      </c>
      <c r="B835" s="35">
        <v>169</v>
      </c>
    </row>
    <row r="836" spans="1:2" x14ac:dyDescent="0.3">
      <c r="A836" s="35" t="s">
        <v>377</v>
      </c>
      <c r="B836" s="35">
        <v>199</v>
      </c>
    </row>
    <row r="837" spans="1:2" x14ac:dyDescent="0.3">
      <c r="A837" s="35" t="s">
        <v>378</v>
      </c>
      <c r="B837" s="35"/>
    </row>
    <row r="838" spans="1:2" x14ac:dyDescent="0.3">
      <c r="A838" s="35" t="s">
        <v>379</v>
      </c>
      <c r="B838" s="35">
        <v>229</v>
      </c>
    </row>
    <row r="839" spans="1:2" x14ac:dyDescent="0.3">
      <c r="A839" s="35" t="s">
        <v>380</v>
      </c>
      <c r="B839" s="35">
        <v>299</v>
      </c>
    </row>
    <row r="840" spans="1:2" x14ac:dyDescent="0.3">
      <c r="A840" s="35" t="s">
        <v>381</v>
      </c>
      <c r="B840" s="35">
        <v>299</v>
      </c>
    </row>
    <row r="841" spans="1:2" x14ac:dyDescent="0.3">
      <c r="A841" s="35" t="s">
        <v>382</v>
      </c>
      <c r="B841" s="35">
        <v>149</v>
      </c>
    </row>
    <row r="842" spans="1:2" x14ac:dyDescent="0.3">
      <c r="A842" s="35" t="s">
        <v>383</v>
      </c>
      <c r="B842" s="35">
        <v>249</v>
      </c>
    </row>
    <row r="843" spans="1:2" x14ac:dyDescent="0.3">
      <c r="A843" s="35" t="s">
        <v>384</v>
      </c>
      <c r="B843" s="35">
        <v>249</v>
      </c>
    </row>
    <row r="844" spans="1:2" x14ac:dyDescent="0.3">
      <c r="A844" s="35" t="s">
        <v>385</v>
      </c>
      <c r="B844" s="35">
        <v>299</v>
      </c>
    </row>
    <row r="845" spans="1:2" x14ac:dyDescent="0.3">
      <c r="A845" s="35" t="s">
        <v>386</v>
      </c>
      <c r="B845" s="35">
        <v>149</v>
      </c>
    </row>
    <row r="846" spans="1:2" x14ac:dyDescent="0.3">
      <c r="A846" s="35" t="s">
        <v>387</v>
      </c>
      <c r="B846" s="35">
        <v>199</v>
      </c>
    </row>
    <row r="847" spans="1:2" x14ac:dyDescent="0.3">
      <c r="A847" s="35" t="s">
        <v>388</v>
      </c>
      <c r="B847" s="35">
        <v>199</v>
      </c>
    </row>
    <row r="848" spans="1:2" x14ac:dyDescent="0.3">
      <c r="A848" s="35" t="s">
        <v>389</v>
      </c>
      <c r="B848" s="35">
        <v>149</v>
      </c>
    </row>
    <row r="849" spans="1:2" x14ac:dyDescent="0.3">
      <c r="A849" s="35" t="s">
        <v>390</v>
      </c>
      <c r="B849" s="35">
        <v>199</v>
      </c>
    </row>
    <row r="850" spans="1:2" x14ac:dyDescent="0.3">
      <c r="A850" s="35" t="s">
        <v>391</v>
      </c>
      <c r="B850" s="35">
        <v>249</v>
      </c>
    </row>
    <row r="851" spans="1:2" x14ac:dyDescent="0.3">
      <c r="A851" s="35" t="s">
        <v>392</v>
      </c>
      <c r="B851" s="35">
        <v>129</v>
      </c>
    </row>
    <row r="852" spans="1:2" x14ac:dyDescent="0.3">
      <c r="A852" s="35" t="s">
        <v>393</v>
      </c>
      <c r="B852" s="35">
        <v>249</v>
      </c>
    </row>
    <row r="853" spans="1:2" x14ac:dyDescent="0.3">
      <c r="A853" s="35" t="s">
        <v>394</v>
      </c>
      <c r="B853" s="35">
        <v>399</v>
      </c>
    </row>
    <row r="854" spans="1:2" x14ac:dyDescent="0.3">
      <c r="A854" s="35" t="s">
        <v>395</v>
      </c>
      <c r="B854" s="35">
        <v>399</v>
      </c>
    </row>
    <row r="855" spans="1:2" x14ac:dyDescent="0.3">
      <c r="A855" s="35" t="s">
        <v>396</v>
      </c>
      <c r="B855" s="35">
        <v>299</v>
      </c>
    </row>
    <row r="856" spans="1:2" x14ac:dyDescent="0.3">
      <c r="A856" s="35" t="s">
        <v>397</v>
      </c>
      <c r="B856" s="35">
        <v>249</v>
      </c>
    </row>
    <row r="857" spans="1:2" x14ac:dyDescent="0.3">
      <c r="A857" s="35" t="s">
        <v>398</v>
      </c>
      <c r="B857" s="35">
        <v>249</v>
      </c>
    </row>
    <row r="858" spans="1:2" x14ac:dyDescent="0.3">
      <c r="A858" s="35" t="s">
        <v>399</v>
      </c>
      <c r="B858" s="35">
        <v>299</v>
      </c>
    </row>
    <row r="859" spans="1:2" x14ac:dyDescent="0.3">
      <c r="A859" s="35" t="s">
        <v>400</v>
      </c>
      <c r="B859" s="35">
        <v>299</v>
      </c>
    </row>
    <row r="860" spans="1:2" x14ac:dyDescent="0.3">
      <c r="A860" s="35" t="s">
        <v>401</v>
      </c>
      <c r="B860" s="35">
        <v>149</v>
      </c>
    </row>
    <row r="861" spans="1:2" x14ac:dyDescent="0.3">
      <c r="A861" s="35" t="s">
        <v>402</v>
      </c>
      <c r="B861" s="35">
        <v>399</v>
      </c>
    </row>
    <row r="862" spans="1:2" x14ac:dyDescent="0.3">
      <c r="A862" s="35" t="s">
        <v>403</v>
      </c>
      <c r="B862" s="35">
        <v>399</v>
      </c>
    </row>
    <row r="863" spans="1:2" x14ac:dyDescent="0.3">
      <c r="A863" s="35" t="s">
        <v>404</v>
      </c>
      <c r="B863" s="35">
        <v>399</v>
      </c>
    </row>
    <row r="864" spans="1:2" x14ac:dyDescent="0.3">
      <c r="A864" s="35" t="s">
        <v>405</v>
      </c>
      <c r="B864" s="35">
        <v>499</v>
      </c>
    </row>
    <row r="865" spans="1:2" x14ac:dyDescent="0.3">
      <c r="A865" s="35" t="s">
        <v>406</v>
      </c>
      <c r="B865" s="35">
        <v>369</v>
      </c>
    </row>
    <row r="866" spans="1:2" x14ac:dyDescent="0.3">
      <c r="A866" s="35" t="s">
        <v>407</v>
      </c>
      <c r="B866" s="35">
        <v>199</v>
      </c>
    </row>
    <row r="867" spans="1:2" x14ac:dyDescent="0.3">
      <c r="A867" s="35" t="s">
        <v>408</v>
      </c>
      <c r="B867" s="35">
        <v>329</v>
      </c>
    </row>
    <row r="868" spans="1:2" x14ac:dyDescent="0.3">
      <c r="A868" s="35" t="s">
        <v>409</v>
      </c>
      <c r="B868" s="35">
        <v>249</v>
      </c>
    </row>
    <row r="869" spans="1:2" x14ac:dyDescent="0.3">
      <c r="A869" s="35" t="s">
        <v>410</v>
      </c>
      <c r="B869" s="35">
        <v>399</v>
      </c>
    </row>
    <row r="870" spans="1:2" x14ac:dyDescent="0.3">
      <c r="A870" s="35" t="s">
        <v>411</v>
      </c>
      <c r="B870" s="35">
        <v>249</v>
      </c>
    </row>
    <row r="871" spans="1:2" x14ac:dyDescent="0.3">
      <c r="A871" s="35" t="s">
        <v>412</v>
      </c>
      <c r="B871" s="35">
        <v>429</v>
      </c>
    </row>
    <row r="872" spans="1:2" x14ac:dyDescent="0.3">
      <c r="A872" s="35" t="s">
        <v>413</v>
      </c>
      <c r="B872" s="35">
        <v>399</v>
      </c>
    </row>
    <row r="873" spans="1:2" x14ac:dyDescent="0.3">
      <c r="A873" s="35" t="s">
        <v>414</v>
      </c>
      <c r="B873" s="35">
        <v>249</v>
      </c>
    </row>
    <row r="874" spans="1:2" x14ac:dyDescent="0.3">
      <c r="A874" s="35" t="s">
        <v>415</v>
      </c>
      <c r="B874" s="35">
        <v>249</v>
      </c>
    </row>
    <row r="875" spans="1:2" x14ac:dyDescent="0.3">
      <c r="A875" s="35" t="s">
        <v>416</v>
      </c>
      <c r="B875" s="35">
        <v>399</v>
      </c>
    </row>
    <row r="876" spans="1:2" x14ac:dyDescent="0.3">
      <c r="A876" s="35" t="s">
        <v>417</v>
      </c>
      <c r="B876" s="35">
        <v>299</v>
      </c>
    </row>
    <row r="877" spans="1:2" x14ac:dyDescent="0.3">
      <c r="A877" s="35" t="s">
        <v>418</v>
      </c>
      <c r="B877" s="35">
        <v>399</v>
      </c>
    </row>
    <row r="878" spans="1:2" x14ac:dyDescent="0.3">
      <c r="A878" s="35" t="s">
        <v>419</v>
      </c>
      <c r="B878" s="35">
        <v>399</v>
      </c>
    </row>
    <row r="879" spans="1:2" x14ac:dyDescent="0.3">
      <c r="A879" s="35" t="s">
        <v>420</v>
      </c>
      <c r="B879" s="35">
        <v>299</v>
      </c>
    </row>
    <row r="880" spans="1:2" x14ac:dyDescent="0.3">
      <c r="A880" s="35" t="s">
        <v>421</v>
      </c>
      <c r="B880" s="35">
        <v>299</v>
      </c>
    </row>
    <row r="881" spans="1:2" x14ac:dyDescent="0.3">
      <c r="A881" s="35" t="s">
        <v>422</v>
      </c>
      <c r="B881" s="35">
        <v>399</v>
      </c>
    </row>
    <row r="882" spans="1:2" x14ac:dyDescent="0.3">
      <c r="A882" s="35" t="s">
        <v>423</v>
      </c>
      <c r="B882" s="35">
        <v>209</v>
      </c>
    </row>
    <row r="883" spans="1:2" x14ac:dyDescent="0.3">
      <c r="A883" s="35" t="s">
        <v>424</v>
      </c>
      <c r="B883" s="35">
        <v>299</v>
      </c>
    </row>
    <row r="884" spans="1:2" x14ac:dyDescent="0.3">
      <c r="A884" s="35" t="s">
        <v>425</v>
      </c>
      <c r="B884" s="35">
        <v>399</v>
      </c>
    </row>
    <row r="885" spans="1:2" x14ac:dyDescent="0.3">
      <c r="A885" s="35" t="s">
        <v>426</v>
      </c>
      <c r="B885" s="35">
        <v>399</v>
      </c>
    </row>
    <row r="886" spans="1:2" x14ac:dyDescent="0.3">
      <c r="A886" s="35" t="s">
        <v>427</v>
      </c>
      <c r="B886" s="35">
        <v>299</v>
      </c>
    </row>
    <row r="887" spans="1:2" x14ac:dyDescent="0.3">
      <c r="A887" s="35" t="s">
        <v>428</v>
      </c>
      <c r="B887" s="35">
        <v>199</v>
      </c>
    </row>
    <row r="888" spans="1:2" x14ac:dyDescent="0.3">
      <c r="A888" s="35" t="s">
        <v>429</v>
      </c>
      <c r="B888" s="35">
        <v>299</v>
      </c>
    </row>
    <row r="889" spans="1:2" x14ac:dyDescent="0.3">
      <c r="A889" s="35" t="s">
        <v>430</v>
      </c>
      <c r="B889" s="35">
        <v>159</v>
      </c>
    </row>
    <row r="890" spans="1:2" x14ac:dyDescent="0.3">
      <c r="A890" s="35" t="s">
        <v>431</v>
      </c>
      <c r="B890" s="35">
        <v>99</v>
      </c>
    </row>
    <row r="891" spans="1:2" x14ac:dyDescent="0.3">
      <c r="A891" s="35" t="s">
        <v>432</v>
      </c>
      <c r="B891" s="35">
        <v>129</v>
      </c>
    </row>
    <row r="892" spans="1:2" x14ac:dyDescent="0.3">
      <c r="A892" s="35" t="s">
        <v>433</v>
      </c>
      <c r="B892" s="35">
        <v>199</v>
      </c>
    </row>
    <row r="893" spans="1:2" x14ac:dyDescent="0.3">
      <c r="A893" s="35" t="s">
        <v>434</v>
      </c>
      <c r="B893" s="35">
        <v>149</v>
      </c>
    </row>
    <row r="894" spans="1:2" x14ac:dyDescent="0.3">
      <c r="A894" s="35" t="s">
        <v>435</v>
      </c>
      <c r="B894" s="35">
        <v>299</v>
      </c>
    </row>
    <row r="895" spans="1:2" x14ac:dyDescent="0.3">
      <c r="A895" s="35" t="s">
        <v>436</v>
      </c>
      <c r="B895" s="35">
        <v>299</v>
      </c>
    </row>
    <row r="896" spans="1:2" x14ac:dyDescent="0.3">
      <c r="A896" s="35" t="s">
        <v>437</v>
      </c>
      <c r="B896" s="35">
        <v>149</v>
      </c>
    </row>
    <row r="897" spans="1:2" x14ac:dyDescent="0.3">
      <c r="A897" s="35" t="s">
        <v>438</v>
      </c>
      <c r="B897" s="35">
        <v>249</v>
      </c>
    </row>
    <row r="898" spans="1:2" x14ac:dyDescent="0.3">
      <c r="A898" s="35" t="s">
        <v>439</v>
      </c>
      <c r="B898" s="35">
        <v>349</v>
      </c>
    </row>
    <row r="899" spans="1:2" x14ac:dyDescent="0.3">
      <c r="A899" s="35" t="s">
        <v>440</v>
      </c>
      <c r="B899" s="35">
        <v>149</v>
      </c>
    </row>
    <row r="900" spans="1:2" x14ac:dyDescent="0.3">
      <c r="A900" s="35" t="s">
        <v>441</v>
      </c>
      <c r="B900" s="35">
        <v>249</v>
      </c>
    </row>
    <row r="901" spans="1:2" x14ac:dyDescent="0.3">
      <c r="A901" s="35" t="s">
        <v>442</v>
      </c>
      <c r="B901" s="35">
        <v>149</v>
      </c>
    </row>
    <row r="902" spans="1:2" x14ac:dyDescent="0.3">
      <c r="A902" s="35" t="s">
        <v>443</v>
      </c>
      <c r="B902" s="35">
        <v>249</v>
      </c>
    </row>
    <row r="903" spans="1:2" x14ac:dyDescent="0.3">
      <c r="A903" s="35" t="s">
        <v>444</v>
      </c>
      <c r="B903" s="35">
        <v>199</v>
      </c>
    </row>
    <row r="904" spans="1:2" x14ac:dyDescent="0.3">
      <c r="A904" s="35" t="s">
        <v>445</v>
      </c>
      <c r="B904" s="35">
        <v>169</v>
      </c>
    </row>
    <row r="905" spans="1:2" x14ac:dyDescent="0.3">
      <c r="A905" s="35" t="s">
        <v>446</v>
      </c>
      <c r="B905" s="35">
        <v>149</v>
      </c>
    </row>
    <row r="906" spans="1:2" x14ac:dyDescent="0.3">
      <c r="A906" s="35" t="s">
        <v>447</v>
      </c>
      <c r="B906" s="35">
        <v>299</v>
      </c>
    </row>
    <row r="907" spans="1:2" x14ac:dyDescent="0.3">
      <c r="A907" s="35" t="s">
        <v>448</v>
      </c>
      <c r="B907" s="35">
        <v>399</v>
      </c>
    </row>
    <row r="908" spans="1:2" x14ac:dyDescent="0.3">
      <c r="A908" s="35" t="s">
        <v>449</v>
      </c>
      <c r="B908" s="35">
        <v>499</v>
      </c>
    </row>
    <row r="909" spans="1:2" x14ac:dyDescent="0.3">
      <c r="A909" s="35" t="s">
        <v>450</v>
      </c>
      <c r="B909" s="35">
        <v>399</v>
      </c>
    </row>
    <row r="910" spans="1:2" x14ac:dyDescent="0.3">
      <c r="A910" s="35" t="s">
        <v>451</v>
      </c>
      <c r="B910" s="35">
        <v>299</v>
      </c>
    </row>
    <row r="911" spans="1:2" x14ac:dyDescent="0.3">
      <c r="A911" s="35" t="s">
        <v>489</v>
      </c>
      <c r="B911" s="35">
        <v>399</v>
      </c>
    </row>
    <row r="912" spans="1:2" x14ac:dyDescent="0.3">
      <c r="A912" s="35" t="s">
        <v>490</v>
      </c>
      <c r="B912" s="35">
        <v>249</v>
      </c>
    </row>
    <row r="913" spans="1:2" x14ac:dyDescent="0.3">
      <c r="A913" s="35" t="s">
        <v>491</v>
      </c>
      <c r="B913" s="35">
        <v>349</v>
      </c>
    </row>
    <row r="914" spans="1:2" x14ac:dyDescent="0.3">
      <c r="A914" s="35" t="s">
        <v>492</v>
      </c>
      <c r="B914" s="35">
        <v>349</v>
      </c>
    </row>
    <row r="915" spans="1:2" x14ac:dyDescent="0.3">
      <c r="A915" s="35" t="s">
        <v>493</v>
      </c>
      <c r="B915" s="35">
        <v>399</v>
      </c>
    </row>
    <row r="916" spans="1:2" x14ac:dyDescent="0.3">
      <c r="A916" s="35" t="s">
        <v>494</v>
      </c>
      <c r="B916" s="35">
        <v>399</v>
      </c>
    </row>
    <row r="917" spans="1:2" x14ac:dyDescent="0.3">
      <c r="A917" s="35" t="s">
        <v>495</v>
      </c>
      <c r="B917" s="35">
        <v>499</v>
      </c>
    </row>
    <row r="918" spans="1:2" x14ac:dyDescent="0.3">
      <c r="A918" s="35" t="s">
        <v>496</v>
      </c>
      <c r="B918" s="35">
        <v>199</v>
      </c>
    </row>
    <row r="919" spans="1:2" x14ac:dyDescent="0.3">
      <c r="A919" s="35" t="s">
        <v>497</v>
      </c>
      <c r="B919" s="35">
        <v>229</v>
      </c>
    </row>
    <row r="920" spans="1:2" x14ac:dyDescent="0.3">
      <c r="A920" s="35" t="s">
        <v>498</v>
      </c>
      <c r="B920" s="35">
        <v>129</v>
      </c>
    </row>
    <row r="921" spans="1:2" x14ac:dyDescent="0.3">
      <c r="A921" s="35" t="s">
        <v>499</v>
      </c>
      <c r="B921" s="35">
        <v>199</v>
      </c>
    </row>
    <row r="922" spans="1:2" x14ac:dyDescent="0.3">
      <c r="A922" s="35" t="s">
        <v>500</v>
      </c>
      <c r="B922" s="35">
        <v>349</v>
      </c>
    </row>
    <row r="923" spans="1:2" x14ac:dyDescent="0.3">
      <c r="A923" s="35" t="s">
        <v>501</v>
      </c>
      <c r="B923" s="35">
        <v>249</v>
      </c>
    </row>
    <row r="924" spans="1:2" x14ac:dyDescent="0.3">
      <c r="A924" s="35" t="s">
        <v>502</v>
      </c>
      <c r="B924" s="35">
        <v>149</v>
      </c>
    </row>
    <row r="925" spans="1:2" x14ac:dyDescent="0.3">
      <c r="A925" s="35" t="s">
        <v>503</v>
      </c>
      <c r="B925" s="35">
        <v>399</v>
      </c>
    </row>
    <row r="926" spans="1:2" x14ac:dyDescent="0.3">
      <c r="A926" s="35" t="s">
        <v>504</v>
      </c>
      <c r="B926" s="35">
        <v>329</v>
      </c>
    </row>
    <row r="927" spans="1:2" x14ac:dyDescent="0.3">
      <c r="A927" s="35" t="s">
        <v>505</v>
      </c>
      <c r="B927" s="35">
        <v>249</v>
      </c>
    </row>
    <row r="928" spans="1:2" x14ac:dyDescent="0.3">
      <c r="A928" s="35" t="s">
        <v>506</v>
      </c>
      <c r="B928" s="35">
        <v>169</v>
      </c>
    </row>
    <row r="929" spans="1:2" x14ac:dyDescent="0.3">
      <c r="A929" s="35" t="s">
        <v>507</v>
      </c>
      <c r="B929" s="35">
        <v>249</v>
      </c>
    </row>
    <row r="930" spans="1:2" x14ac:dyDescent="0.3">
      <c r="A930" s="35" t="s">
        <v>508</v>
      </c>
      <c r="B930" s="35">
        <v>99</v>
      </c>
    </row>
    <row r="931" spans="1:2" x14ac:dyDescent="0.3">
      <c r="A931" s="35" t="s">
        <v>509</v>
      </c>
      <c r="B931" s="35">
        <v>129</v>
      </c>
    </row>
    <row r="932" spans="1:2" x14ac:dyDescent="0.3">
      <c r="A932" s="35" t="s">
        <v>510</v>
      </c>
      <c r="B932" s="35">
        <v>249</v>
      </c>
    </row>
    <row r="933" spans="1:2" x14ac:dyDescent="0.3">
      <c r="A933" s="35" t="s">
        <v>511</v>
      </c>
      <c r="B933" s="35">
        <v>149</v>
      </c>
    </row>
    <row r="934" spans="1:2" x14ac:dyDescent="0.3">
      <c r="A934" s="35" t="s">
        <v>512</v>
      </c>
      <c r="B934" s="35">
        <v>199</v>
      </c>
    </row>
    <row r="935" spans="1:2" x14ac:dyDescent="0.3">
      <c r="A935" s="35" t="s">
        <v>513</v>
      </c>
      <c r="B935" s="35">
        <v>249</v>
      </c>
    </row>
    <row r="936" spans="1:2" x14ac:dyDescent="0.3">
      <c r="A936" s="35" t="s">
        <v>514</v>
      </c>
      <c r="B936" s="35">
        <v>299</v>
      </c>
    </row>
    <row r="937" spans="1:2" x14ac:dyDescent="0.3">
      <c r="A937" s="35" t="s">
        <v>515</v>
      </c>
      <c r="B937" s="35">
        <v>399</v>
      </c>
    </row>
    <row r="938" spans="1:2" x14ac:dyDescent="0.3">
      <c r="A938" s="35" t="s">
        <v>516</v>
      </c>
      <c r="B938" s="35">
        <v>299</v>
      </c>
    </row>
    <row r="939" spans="1:2" x14ac:dyDescent="0.3">
      <c r="A939" s="35" t="s">
        <v>517</v>
      </c>
      <c r="B939" s="35">
        <v>299</v>
      </c>
    </row>
    <row r="940" spans="1:2" x14ac:dyDescent="0.3">
      <c r="A940" s="35" t="s">
        <v>518</v>
      </c>
      <c r="B940" s="35">
        <v>149</v>
      </c>
    </row>
    <row r="941" spans="1:2" x14ac:dyDescent="0.3">
      <c r="A941" s="35" t="s">
        <v>519</v>
      </c>
      <c r="B941" s="35">
        <v>399</v>
      </c>
    </row>
    <row r="942" spans="1:2" x14ac:dyDescent="0.3">
      <c r="A942" s="35" t="s">
        <v>520</v>
      </c>
      <c r="B942" s="35">
        <v>249</v>
      </c>
    </row>
    <row r="943" spans="1:2" x14ac:dyDescent="0.3">
      <c r="A943" s="35" t="s">
        <v>521</v>
      </c>
      <c r="B943" s="35">
        <v>99</v>
      </c>
    </row>
    <row r="944" spans="1:2" x14ac:dyDescent="0.3">
      <c r="A944" s="35" t="s">
        <v>522</v>
      </c>
      <c r="B944" s="35">
        <v>249</v>
      </c>
    </row>
    <row r="945" spans="1:2" x14ac:dyDescent="0.3">
      <c r="A945" s="35" t="s">
        <v>523</v>
      </c>
      <c r="B945" s="35">
        <v>199</v>
      </c>
    </row>
    <row r="946" spans="1:2" x14ac:dyDescent="0.3">
      <c r="A946" s="35" t="s">
        <v>524</v>
      </c>
      <c r="B946" s="35">
        <v>129</v>
      </c>
    </row>
    <row r="947" spans="1:2" x14ac:dyDescent="0.3">
      <c r="A947" s="35" t="s">
        <v>525</v>
      </c>
      <c r="B947" s="35">
        <v>149</v>
      </c>
    </row>
    <row r="948" spans="1:2" x14ac:dyDescent="0.3">
      <c r="A948" s="35" t="s">
        <v>526</v>
      </c>
      <c r="B948" s="35">
        <v>349</v>
      </c>
    </row>
    <row r="949" spans="1:2" x14ac:dyDescent="0.3">
      <c r="A949" s="35" t="s">
        <v>527</v>
      </c>
      <c r="B949" s="35">
        <v>399</v>
      </c>
    </row>
    <row r="950" spans="1:2" x14ac:dyDescent="0.3">
      <c r="A950" s="35" t="s">
        <v>528</v>
      </c>
      <c r="B950" s="35">
        <v>429</v>
      </c>
    </row>
    <row r="951" spans="1:2" x14ac:dyDescent="0.3">
      <c r="A951" s="35" t="s">
        <v>529</v>
      </c>
      <c r="B951" s="35">
        <v>249</v>
      </c>
    </row>
    <row r="952" spans="1:2" x14ac:dyDescent="0.3">
      <c r="A952" s="35" t="s">
        <v>530</v>
      </c>
      <c r="B952" s="35">
        <v>329</v>
      </c>
    </row>
    <row r="953" spans="1:2" x14ac:dyDescent="0.3">
      <c r="A953" s="35" t="s">
        <v>531</v>
      </c>
      <c r="B953" s="35">
        <v>399</v>
      </c>
    </row>
    <row r="954" spans="1:2" x14ac:dyDescent="0.3">
      <c r="A954" s="35" t="s">
        <v>532</v>
      </c>
      <c r="B954" s="35">
        <v>249</v>
      </c>
    </row>
    <row r="955" spans="1:2" x14ac:dyDescent="0.3">
      <c r="A955" s="35" t="s">
        <v>533</v>
      </c>
      <c r="B955" s="35">
        <v>399</v>
      </c>
    </row>
    <row r="956" spans="1:2" x14ac:dyDescent="0.3">
      <c r="A956" s="35" t="s">
        <v>534</v>
      </c>
      <c r="B956" s="35">
        <v>399</v>
      </c>
    </row>
    <row r="957" spans="1:2" x14ac:dyDescent="0.3">
      <c r="A957" s="35" t="s">
        <v>535</v>
      </c>
      <c r="B957" s="35">
        <v>399</v>
      </c>
    </row>
    <row r="958" spans="1:2" x14ac:dyDescent="0.3">
      <c r="A958" s="35" t="s">
        <v>536</v>
      </c>
      <c r="B958" s="35">
        <v>399</v>
      </c>
    </row>
    <row r="959" spans="1:2" x14ac:dyDescent="0.3">
      <c r="A959" s="35" t="s">
        <v>537</v>
      </c>
      <c r="B959" s="35">
        <v>299</v>
      </c>
    </row>
    <row r="960" spans="1:2" x14ac:dyDescent="0.3">
      <c r="A960" s="35" t="s">
        <v>538</v>
      </c>
      <c r="B960" s="35">
        <v>299</v>
      </c>
    </row>
    <row r="961" spans="1:2" x14ac:dyDescent="0.3">
      <c r="A961" s="35" t="s">
        <v>539</v>
      </c>
      <c r="B961" s="35">
        <v>299</v>
      </c>
    </row>
    <row r="962" spans="1:2" x14ac:dyDescent="0.3">
      <c r="A962" s="35" t="s">
        <v>540</v>
      </c>
      <c r="B962" s="35">
        <v>149</v>
      </c>
    </row>
    <row r="963" spans="1:2" x14ac:dyDescent="0.3">
      <c r="A963" s="35" t="s">
        <v>541</v>
      </c>
      <c r="B963" s="35">
        <v>249</v>
      </c>
    </row>
    <row r="964" spans="1:2" x14ac:dyDescent="0.3">
      <c r="A964" s="35" t="s">
        <v>542</v>
      </c>
      <c r="B964" s="35">
        <v>149</v>
      </c>
    </row>
    <row r="965" spans="1:2" x14ac:dyDescent="0.3">
      <c r="A965" s="35" t="s">
        <v>543</v>
      </c>
      <c r="B965" s="35">
        <v>249</v>
      </c>
    </row>
    <row r="966" spans="1:2" x14ac:dyDescent="0.3">
      <c r="A966" s="35" t="s">
        <v>544</v>
      </c>
      <c r="B966" s="35">
        <v>399</v>
      </c>
    </row>
    <row r="967" spans="1:2" x14ac:dyDescent="0.3">
      <c r="A967" s="35" t="s">
        <v>545</v>
      </c>
      <c r="B967" s="35">
        <v>349</v>
      </c>
    </row>
    <row r="968" spans="1:2" x14ac:dyDescent="0.3">
      <c r="A968" s="35" t="s">
        <v>546</v>
      </c>
      <c r="B968" s="35">
        <v>299</v>
      </c>
    </row>
    <row r="969" spans="1:2" x14ac:dyDescent="0.3">
      <c r="A969" s="35" t="s">
        <v>547</v>
      </c>
      <c r="B969" s="35">
        <v>249</v>
      </c>
    </row>
    <row r="970" spans="1:2" x14ac:dyDescent="0.3">
      <c r="A970" s="35" t="s">
        <v>548</v>
      </c>
      <c r="B970" s="35">
        <v>299</v>
      </c>
    </row>
    <row r="971" spans="1:2" x14ac:dyDescent="0.3">
      <c r="A971" s="35" t="s">
        <v>549</v>
      </c>
      <c r="B971" s="35">
        <v>299</v>
      </c>
    </row>
    <row r="972" spans="1:2" x14ac:dyDescent="0.3">
      <c r="A972" s="35" t="s">
        <v>550</v>
      </c>
      <c r="B972" s="35">
        <v>149</v>
      </c>
    </row>
    <row r="973" spans="1:2" x14ac:dyDescent="0.3">
      <c r="A973" s="35" t="s">
        <v>551</v>
      </c>
      <c r="B973" s="35">
        <v>429</v>
      </c>
    </row>
    <row r="974" spans="1:2" x14ac:dyDescent="0.3">
      <c r="A974" s="35" t="s">
        <v>552</v>
      </c>
      <c r="B974" s="35">
        <v>349</v>
      </c>
    </row>
    <row r="975" spans="1:2" x14ac:dyDescent="0.3">
      <c r="A975" s="35" t="s">
        <v>553</v>
      </c>
      <c r="B975" s="35">
        <v>199</v>
      </c>
    </row>
    <row r="976" spans="1:2" x14ac:dyDescent="0.3">
      <c r="A976" s="35" t="s">
        <v>554</v>
      </c>
      <c r="B976" s="35">
        <v>199</v>
      </c>
    </row>
    <row r="977" spans="1:2" x14ac:dyDescent="0.3">
      <c r="A977" s="35" t="s">
        <v>555</v>
      </c>
      <c r="B977" s="35">
        <v>229</v>
      </c>
    </row>
    <row r="978" spans="1:2" x14ac:dyDescent="0.3">
      <c r="A978" s="35" t="s">
        <v>556</v>
      </c>
      <c r="B978" s="35">
        <v>149</v>
      </c>
    </row>
    <row r="979" spans="1:2" x14ac:dyDescent="0.3">
      <c r="A979" s="35" t="s">
        <v>557</v>
      </c>
      <c r="B979" s="35">
        <v>299</v>
      </c>
    </row>
    <row r="980" spans="1:2" x14ac:dyDescent="0.3">
      <c r="A980" s="35" t="s">
        <v>558</v>
      </c>
      <c r="B980" s="35">
        <v>249</v>
      </c>
    </row>
    <row r="981" spans="1:2" x14ac:dyDescent="0.3">
      <c r="A981" s="35" t="s">
        <v>559</v>
      </c>
      <c r="B981" s="35">
        <v>199</v>
      </c>
    </row>
    <row r="982" spans="1:2" x14ac:dyDescent="0.3">
      <c r="A982" s="35" t="s">
        <v>560</v>
      </c>
      <c r="B982" s="35">
        <v>299</v>
      </c>
    </row>
    <row r="983" spans="1:2" x14ac:dyDescent="0.3">
      <c r="A983" s="35" t="s">
        <v>561</v>
      </c>
      <c r="B983" s="35">
        <v>99</v>
      </c>
    </row>
    <row r="984" spans="1:2" x14ac:dyDescent="0.3">
      <c r="A984" s="35" t="s">
        <v>562</v>
      </c>
      <c r="B984" s="35">
        <v>129</v>
      </c>
    </row>
    <row r="985" spans="1:2" x14ac:dyDescent="0.3">
      <c r="A985" s="35" t="s">
        <v>563</v>
      </c>
      <c r="B985" s="35">
        <v>129</v>
      </c>
    </row>
    <row r="986" spans="1:2" x14ac:dyDescent="0.3">
      <c r="A986" s="35" t="s">
        <v>564</v>
      </c>
      <c r="B986" s="35">
        <v>329</v>
      </c>
    </row>
    <row r="987" spans="1:2" x14ac:dyDescent="0.3">
      <c r="A987" s="35" t="s">
        <v>565</v>
      </c>
      <c r="B987" s="35">
        <v>349</v>
      </c>
    </row>
    <row r="988" spans="1:2" x14ac:dyDescent="0.3">
      <c r="A988" s="35" t="s">
        <v>566</v>
      </c>
      <c r="B988" s="35">
        <v>249</v>
      </c>
    </row>
    <row r="989" spans="1:2" x14ac:dyDescent="0.3">
      <c r="A989" s="35" t="s">
        <v>567</v>
      </c>
      <c r="B989" s="35">
        <v>249</v>
      </c>
    </row>
    <row r="990" spans="1:2" x14ac:dyDescent="0.3">
      <c r="A990" s="35" t="s">
        <v>568</v>
      </c>
      <c r="B990" s="35">
        <v>149</v>
      </c>
    </row>
    <row r="991" spans="1:2" x14ac:dyDescent="0.3">
      <c r="A991" s="35" t="s">
        <v>569</v>
      </c>
      <c r="B991" s="35">
        <v>399</v>
      </c>
    </row>
    <row r="992" spans="1:2" x14ac:dyDescent="0.3">
      <c r="A992" s="35" t="s">
        <v>570</v>
      </c>
      <c r="B992" s="35">
        <v>249</v>
      </c>
    </row>
    <row r="993" spans="1:2" x14ac:dyDescent="0.3">
      <c r="A993" s="35" t="s">
        <v>571</v>
      </c>
      <c r="B993" s="35">
        <v>399</v>
      </c>
    </row>
    <row r="994" spans="1:2" x14ac:dyDescent="0.3">
      <c r="A994" s="35" t="s">
        <v>572</v>
      </c>
      <c r="B994" s="35">
        <v>399</v>
      </c>
    </row>
    <row r="995" spans="1:2" x14ac:dyDescent="0.3">
      <c r="A995" s="35" t="s">
        <v>573</v>
      </c>
      <c r="B995" s="35">
        <v>399</v>
      </c>
    </row>
    <row r="996" spans="1:2" x14ac:dyDescent="0.3">
      <c r="A996" s="35" t="s">
        <v>574</v>
      </c>
      <c r="B996" s="35">
        <v>299</v>
      </c>
    </row>
    <row r="997" spans="1:2" x14ac:dyDescent="0.3">
      <c r="A997" s="35" t="s">
        <v>575</v>
      </c>
      <c r="B997" s="35">
        <v>399</v>
      </c>
    </row>
    <row r="998" spans="1:2" x14ac:dyDescent="0.3">
      <c r="A998" s="35" t="s">
        <v>576</v>
      </c>
      <c r="B998" s="35">
        <v>299</v>
      </c>
    </row>
    <row r="999" spans="1:2" x14ac:dyDescent="0.3">
      <c r="A999" s="35" t="s">
        <v>577</v>
      </c>
      <c r="B999" s="35">
        <v>199</v>
      </c>
    </row>
    <row r="1000" spans="1:2" x14ac:dyDescent="0.3">
      <c r="A1000" s="35" t="s">
        <v>578</v>
      </c>
      <c r="B1000" s="35">
        <v>199</v>
      </c>
    </row>
    <row r="1001" spans="1:2" x14ac:dyDescent="0.3">
      <c r="A1001" s="35" t="s">
        <v>579</v>
      </c>
      <c r="B1001" s="35">
        <v>149</v>
      </c>
    </row>
    <row r="1002" spans="1:2" x14ac:dyDescent="0.3">
      <c r="A1002" s="35" t="s">
        <v>580</v>
      </c>
      <c r="B1002" s="35">
        <v>249</v>
      </c>
    </row>
    <row r="1003" spans="1:2" x14ac:dyDescent="0.3">
      <c r="A1003" s="35" t="s">
        <v>581</v>
      </c>
      <c r="B1003" s="35">
        <v>149</v>
      </c>
    </row>
    <row r="1004" spans="1:2" x14ac:dyDescent="0.3">
      <c r="A1004" s="35" t="s">
        <v>582</v>
      </c>
      <c r="B1004" s="35">
        <v>99</v>
      </c>
    </row>
    <row r="1005" spans="1:2" x14ac:dyDescent="0.3">
      <c r="A1005" s="35" t="s">
        <v>583</v>
      </c>
      <c r="B1005" s="35">
        <v>249</v>
      </c>
    </row>
    <row r="1006" spans="1:2" x14ac:dyDescent="0.3">
      <c r="A1006" s="35" t="s">
        <v>584</v>
      </c>
      <c r="B1006" s="35">
        <v>149</v>
      </c>
    </row>
    <row r="1007" spans="1:2" x14ac:dyDescent="0.3">
      <c r="A1007" s="35" t="s">
        <v>585</v>
      </c>
      <c r="B1007" s="35">
        <v>249</v>
      </c>
    </row>
    <row r="1008" spans="1:2" x14ac:dyDescent="0.3">
      <c r="A1008" s="35" t="s">
        <v>586</v>
      </c>
      <c r="B1008" s="35">
        <v>199</v>
      </c>
    </row>
    <row r="1009" spans="1:2" x14ac:dyDescent="0.3">
      <c r="A1009" s="35" t="s">
        <v>587</v>
      </c>
      <c r="B1009" s="35">
        <v>249</v>
      </c>
    </row>
    <row r="1010" spans="1:2" x14ac:dyDescent="0.3">
      <c r="A1010" s="35" t="s">
        <v>588</v>
      </c>
      <c r="B1010" s="35">
        <v>179</v>
      </c>
    </row>
    <row r="1011" spans="1:2" x14ac:dyDescent="0.3">
      <c r="A1011" s="35" t="s">
        <v>589</v>
      </c>
      <c r="B1011" s="35">
        <v>199</v>
      </c>
    </row>
    <row r="1012" spans="1:2" x14ac:dyDescent="0.3">
      <c r="A1012" s="35" t="s">
        <v>590</v>
      </c>
      <c r="B1012" s="35">
        <v>229</v>
      </c>
    </row>
    <row r="1013" spans="1:2" x14ac:dyDescent="0.3">
      <c r="A1013" s="35" t="s">
        <v>591</v>
      </c>
      <c r="B1013" s="35">
        <v>399</v>
      </c>
    </row>
    <row r="1014" spans="1:2" x14ac:dyDescent="0.3">
      <c r="A1014" s="35" t="s">
        <v>856</v>
      </c>
      <c r="B1014" s="35">
        <v>399</v>
      </c>
    </row>
    <row r="1015" spans="1:2" x14ac:dyDescent="0.3">
      <c r="A1015" s="35" t="s">
        <v>857</v>
      </c>
      <c r="B1015" s="35">
        <v>399</v>
      </c>
    </row>
    <row r="1016" spans="1:2" x14ac:dyDescent="0.3">
      <c r="A1016" s="35" t="s">
        <v>858</v>
      </c>
      <c r="B1016" s="35">
        <v>499</v>
      </c>
    </row>
    <row r="1017" spans="1:2" x14ac:dyDescent="0.3">
      <c r="A1017" s="35" t="s">
        <v>859</v>
      </c>
      <c r="B1017" s="35">
        <v>529</v>
      </c>
    </row>
    <row r="1018" spans="1:2" x14ac:dyDescent="0.3">
      <c r="A1018" s="35" t="s">
        <v>860</v>
      </c>
      <c r="B1018" s="35">
        <v>549</v>
      </c>
    </row>
    <row r="1019" spans="1:2" x14ac:dyDescent="0.3">
      <c r="A1019" s="35" t="s">
        <v>861</v>
      </c>
      <c r="B1019" s="35">
        <v>249</v>
      </c>
    </row>
    <row r="1020" spans="1:2" x14ac:dyDescent="0.3">
      <c r="A1020" s="35" t="s">
        <v>862</v>
      </c>
      <c r="B1020" s="35">
        <v>99</v>
      </c>
    </row>
    <row r="1021" spans="1:2" x14ac:dyDescent="0.3">
      <c r="A1021" s="35" t="s">
        <v>863</v>
      </c>
      <c r="B1021" s="35">
        <v>229</v>
      </c>
    </row>
    <row r="1022" spans="1:2" x14ac:dyDescent="0.3">
      <c r="A1022" s="35" t="s">
        <v>864</v>
      </c>
      <c r="B1022" s="35">
        <v>199</v>
      </c>
    </row>
    <row r="1023" spans="1:2" x14ac:dyDescent="0.3">
      <c r="A1023" s="35" t="s">
        <v>865</v>
      </c>
      <c r="B1023" s="35">
        <v>299</v>
      </c>
    </row>
    <row r="1024" spans="1:2" x14ac:dyDescent="0.3">
      <c r="A1024" s="35" t="s">
        <v>866</v>
      </c>
      <c r="B1024" s="35">
        <v>149</v>
      </c>
    </row>
    <row r="1025" spans="1:2" x14ac:dyDescent="0.3">
      <c r="A1025" s="35" t="s">
        <v>867</v>
      </c>
      <c r="B1025" s="35">
        <v>429</v>
      </c>
    </row>
    <row r="1026" spans="1:2" x14ac:dyDescent="0.3">
      <c r="A1026" s="35" t="s">
        <v>868</v>
      </c>
      <c r="B1026" s="35">
        <v>399</v>
      </c>
    </row>
    <row r="1027" spans="1:2" x14ac:dyDescent="0.3">
      <c r="A1027" s="35" t="s">
        <v>869</v>
      </c>
      <c r="B1027" s="35">
        <v>299</v>
      </c>
    </row>
    <row r="1028" spans="1:2" x14ac:dyDescent="0.3">
      <c r="A1028" s="35" t="s">
        <v>870</v>
      </c>
      <c r="B1028" s="35">
        <v>299</v>
      </c>
    </row>
    <row r="1029" spans="1:2" x14ac:dyDescent="0.3">
      <c r="A1029" s="35" t="s">
        <v>871</v>
      </c>
      <c r="B1029" s="35">
        <v>249</v>
      </c>
    </row>
    <row r="1030" spans="1:2" x14ac:dyDescent="0.3">
      <c r="A1030" s="35" t="s">
        <v>872</v>
      </c>
      <c r="B1030" s="35">
        <v>179</v>
      </c>
    </row>
    <row r="1031" spans="1:2" x14ac:dyDescent="0.3">
      <c r="A1031" s="35" t="s">
        <v>873</v>
      </c>
      <c r="B1031" s="35">
        <v>349</v>
      </c>
    </row>
    <row r="1032" spans="1:2" x14ac:dyDescent="0.3">
      <c r="A1032" s="35" t="s">
        <v>874</v>
      </c>
      <c r="B1032" s="35">
        <v>99</v>
      </c>
    </row>
    <row r="1033" spans="1:2" x14ac:dyDescent="0.3">
      <c r="A1033" s="35" t="s">
        <v>875</v>
      </c>
      <c r="B1033" s="35">
        <v>299</v>
      </c>
    </row>
    <row r="1034" spans="1:2" x14ac:dyDescent="0.3">
      <c r="A1034" s="35" t="s">
        <v>876</v>
      </c>
      <c r="B1034" s="35">
        <v>199</v>
      </c>
    </row>
    <row r="1035" spans="1:2" x14ac:dyDescent="0.3">
      <c r="A1035" s="35" t="s">
        <v>877</v>
      </c>
      <c r="B1035" s="35">
        <v>249</v>
      </c>
    </row>
    <row r="1036" spans="1:2" x14ac:dyDescent="0.3">
      <c r="A1036" s="35" t="s">
        <v>878</v>
      </c>
      <c r="B1036" s="35">
        <v>249</v>
      </c>
    </row>
    <row r="1037" spans="1:2" x14ac:dyDescent="0.3">
      <c r="A1037" s="35" t="s">
        <v>879</v>
      </c>
      <c r="B1037" s="35">
        <v>199</v>
      </c>
    </row>
    <row r="1038" spans="1:2" x14ac:dyDescent="0.3">
      <c r="A1038" s="35" t="s">
        <v>880</v>
      </c>
      <c r="B1038" s="35">
        <v>179</v>
      </c>
    </row>
    <row r="1039" spans="1:2" x14ac:dyDescent="0.3">
      <c r="A1039" s="35" t="s">
        <v>881</v>
      </c>
      <c r="B1039" s="35">
        <v>429</v>
      </c>
    </row>
    <row r="1040" spans="1:2" x14ac:dyDescent="0.3">
      <c r="A1040" s="35" t="s">
        <v>882</v>
      </c>
      <c r="B1040" s="35">
        <v>429</v>
      </c>
    </row>
    <row r="1041" spans="1:2" x14ac:dyDescent="0.3">
      <c r="A1041" s="35" t="s">
        <v>883</v>
      </c>
      <c r="B1041" s="35">
        <v>399</v>
      </c>
    </row>
    <row r="1042" spans="1:2" x14ac:dyDescent="0.3">
      <c r="A1042" s="35" t="s">
        <v>884</v>
      </c>
      <c r="B1042" s="35">
        <v>299</v>
      </c>
    </row>
    <row r="1043" spans="1:2" x14ac:dyDescent="0.3">
      <c r="A1043" s="35" t="s">
        <v>885</v>
      </c>
      <c r="B1043" s="35">
        <v>249</v>
      </c>
    </row>
    <row r="1044" spans="1:2" x14ac:dyDescent="0.3">
      <c r="A1044" s="35" t="s">
        <v>886</v>
      </c>
      <c r="B1044" s="35">
        <v>299</v>
      </c>
    </row>
    <row r="1045" spans="1:2" x14ac:dyDescent="0.3">
      <c r="A1045" s="35" t="s">
        <v>887</v>
      </c>
      <c r="B1045" s="35">
        <v>299</v>
      </c>
    </row>
    <row r="1046" spans="1:2" x14ac:dyDescent="0.3">
      <c r="A1046" s="35" t="s">
        <v>888</v>
      </c>
      <c r="B1046" s="35">
        <v>349</v>
      </c>
    </row>
    <row r="1047" spans="1:2" x14ac:dyDescent="0.3">
      <c r="A1047" s="35" t="s">
        <v>889</v>
      </c>
      <c r="B1047" s="35">
        <v>299</v>
      </c>
    </row>
    <row r="1048" spans="1:2" x14ac:dyDescent="0.3">
      <c r="A1048" s="35" t="s">
        <v>890</v>
      </c>
      <c r="B1048" s="35">
        <v>399</v>
      </c>
    </row>
    <row r="1049" spans="1:2" x14ac:dyDescent="0.3">
      <c r="A1049" s="35" t="s">
        <v>891</v>
      </c>
      <c r="B1049" s="35">
        <v>399</v>
      </c>
    </row>
    <row r="1050" spans="1:2" x14ac:dyDescent="0.3">
      <c r="A1050" s="35" t="s">
        <v>892</v>
      </c>
      <c r="B1050" s="35">
        <v>349</v>
      </c>
    </row>
    <row r="1051" spans="1:2" x14ac:dyDescent="0.3">
      <c r="A1051" s="35" t="s">
        <v>893</v>
      </c>
      <c r="B1051" s="35">
        <v>249</v>
      </c>
    </row>
    <row r="1052" spans="1:2" x14ac:dyDescent="0.3">
      <c r="A1052" s="35" t="s">
        <v>894</v>
      </c>
      <c r="B1052" s="35">
        <v>399</v>
      </c>
    </row>
    <row r="1053" spans="1:2" x14ac:dyDescent="0.3">
      <c r="A1053" s="35" t="s">
        <v>895</v>
      </c>
      <c r="B1053" s="35">
        <v>299</v>
      </c>
    </row>
    <row r="1054" spans="1:2" x14ac:dyDescent="0.3">
      <c r="A1054" s="35" t="s">
        <v>896</v>
      </c>
      <c r="B1054" s="35">
        <v>399</v>
      </c>
    </row>
    <row r="1055" spans="1:2" x14ac:dyDescent="0.3">
      <c r="A1055" s="35" t="s">
        <v>897</v>
      </c>
      <c r="B1055" s="35">
        <v>299</v>
      </c>
    </row>
    <row r="1056" spans="1:2" x14ac:dyDescent="0.3">
      <c r="A1056" s="35" t="s">
        <v>898</v>
      </c>
      <c r="B1056" s="35">
        <v>149</v>
      </c>
    </row>
    <row r="1057" spans="1:2" x14ac:dyDescent="0.3">
      <c r="A1057" s="35" t="s">
        <v>899</v>
      </c>
      <c r="B1057" s="35">
        <v>249</v>
      </c>
    </row>
    <row r="1058" spans="1:2" x14ac:dyDescent="0.3">
      <c r="A1058" s="35" t="s">
        <v>900</v>
      </c>
      <c r="B1058" s="35">
        <v>399</v>
      </c>
    </row>
    <row r="1059" spans="1:2" x14ac:dyDescent="0.3">
      <c r="A1059" s="35" t="s">
        <v>901</v>
      </c>
      <c r="B1059" s="35">
        <v>249</v>
      </c>
    </row>
    <row r="1060" spans="1:2" x14ac:dyDescent="0.3">
      <c r="A1060" s="35" t="s">
        <v>902</v>
      </c>
      <c r="B1060" s="35">
        <v>299</v>
      </c>
    </row>
    <row r="1061" spans="1:2" x14ac:dyDescent="0.3">
      <c r="A1061" s="35" t="s">
        <v>903</v>
      </c>
      <c r="B1061" s="35">
        <v>399</v>
      </c>
    </row>
    <row r="1062" spans="1:2" x14ac:dyDescent="0.3">
      <c r="A1062" s="35" t="s">
        <v>904</v>
      </c>
      <c r="B1062" s="35">
        <v>299</v>
      </c>
    </row>
    <row r="1063" spans="1:2" x14ac:dyDescent="0.3">
      <c r="A1063" s="35" t="s">
        <v>905</v>
      </c>
      <c r="B1063" s="35">
        <v>249</v>
      </c>
    </row>
    <row r="1064" spans="1:2" x14ac:dyDescent="0.3">
      <c r="A1064" s="35" t="s">
        <v>906</v>
      </c>
      <c r="B1064" s="35">
        <v>299</v>
      </c>
    </row>
    <row r="1065" spans="1:2" x14ac:dyDescent="0.3">
      <c r="A1065" s="35" t="s">
        <v>907</v>
      </c>
      <c r="B1065" s="35">
        <v>299</v>
      </c>
    </row>
    <row r="1066" spans="1:2" x14ac:dyDescent="0.3">
      <c r="A1066" s="35" t="s">
        <v>908</v>
      </c>
      <c r="B1066" s="35">
        <v>399</v>
      </c>
    </row>
    <row r="1067" spans="1:2" x14ac:dyDescent="0.3">
      <c r="A1067" s="35" t="s">
        <v>909</v>
      </c>
      <c r="B1067" s="35">
        <v>599</v>
      </c>
    </row>
    <row r="1068" spans="1:2" x14ac:dyDescent="0.3">
      <c r="A1068" s="35" t="s">
        <v>910</v>
      </c>
      <c r="B1068" s="35">
        <v>599</v>
      </c>
    </row>
    <row r="1069" spans="1:2" x14ac:dyDescent="0.3">
      <c r="A1069" s="35" t="s">
        <v>911</v>
      </c>
      <c r="B1069" s="35">
        <v>249</v>
      </c>
    </row>
    <row r="1070" spans="1:2" x14ac:dyDescent="0.3">
      <c r="A1070" s="35" t="s">
        <v>912</v>
      </c>
      <c r="B1070" s="35">
        <v>399</v>
      </c>
    </row>
    <row r="1071" spans="1:2" x14ac:dyDescent="0.3">
      <c r="A1071" s="35" t="s">
        <v>913</v>
      </c>
      <c r="B1071" s="35">
        <v>249</v>
      </c>
    </row>
    <row r="1072" spans="1:2" x14ac:dyDescent="0.3">
      <c r="A1072" s="35" t="s">
        <v>914</v>
      </c>
      <c r="B1072" s="35">
        <v>399</v>
      </c>
    </row>
    <row r="1073" spans="1:2" x14ac:dyDescent="0.3">
      <c r="A1073" s="35" t="s">
        <v>915</v>
      </c>
      <c r="B1073" s="35">
        <v>299</v>
      </c>
    </row>
    <row r="1074" spans="1:2" x14ac:dyDescent="0.3">
      <c r="A1074" s="35" t="s">
        <v>916</v>
      </c>
      <c r="B1074" s="35">
        <v>249</v>
      </c>
    </row>
    <row r="1075" spans="1:2" x14ac:dyDescent="0.3">
      <c r="A1075" s="35" t="s">
        <v>917</v>
      </c>
      <c r="B1075" s="35">
        <v>399</v>
      </c>
    </row>
    <row r="1076" spans="1:2" x14ac:dyDescent="0.3">
      <c r="A1076" s="35" t="s">
        <v>918</v>
      </c>
      <c r="B1076" s="35">
        <v>349</v>
      </c>
    </row>
    <row r="1077" spans="1:2" x14ac:dyDescent="0.3">
      <c r="A1077" s="35" t="s">
        <v>919</v>
      </c>
      <c r="B1077" s="35">
        <v>399</v>
      </c>
    </row>
    <row r="1078" spans="1:2" x14ac:dyDescent="0.3">
      <c r="A1078" s="35" t="s">
        <v>920</v>
      </c>
      <c r="B1078" s="35">
        <v>449</v>
      </c>
    </row>
    <row r="1079" spans="1:2" x14ac:dyDescent="0.3">
      <c r="A1079" s="35" t="s">
        <v>921</v>
      </c>
      <c r="B1079" s="35">
        <v>449</v>
      </c>
    </row>
    <row r="1080" spans="1:2" x14ac:dyDescent="0.3">
      <c r="A1080" s="35" t="s">
        <v>922</v>
      </c>
      <c r="B1080" s="35">
        <v>599</v>
      </c>
    </row>
    <row r="1081" spans="1:2" x14ac:dyDescent="0.3">
      <c r="A1081" s="35" t="s">
        <v>923</v>
      </c>
      <c r="B1081" s="35">
        <v>799</v>
      </c>
    </row>
    <row r="1082" spans="1:2" x14ac:dyDescent="0.3">
      <c r="A1082" s="35" t="s">
        <v>924</v>
      </c>
      <c r="B1082" s="35">
        <v>849</v>
      </c>
    </row>
    <row r="1083" spans="1:2" x14ac:dyDescent="0.3">
      <c r="A1083" s="35" t="s">
        <v>925</v>
      </c>
      <c r="B1083" s="35">
        <v>199</v>
      </c>
    </row>
    <row r="1084" spans="1:2" x14ac:dyDescent="0.3">
      <c r="A1084" s="35" t="s">
        <v>926</v>
      </c>
      <c r="B1084" s="35">
        <v>299</v>
      </c>
    </row>
    <row r="1085" spans="1:2" x14ac:dyDescent="0.3">
      <c r="A1085" s="35" t="s">
        <v>927</v>
      </c>
      <c r="B1085" s="35">
        <v>249</v>
      </c>
    </row>
    <row r="1086" spans="1:2" x14ac:dyDescent="0.3">
      <c r="A1086" s="35" t="s">
        <v>928</v>
      </c>
      <c r="B1086" s="35">
        <v>199</v>
      </c>
    </row>
    <row r="1087" spans="1:2" x14ac:dyDescent="0.3">
      <c r="A1087" s="35" t="s">
        <v>929</v>
      </c>
      <c r="B1087" s="35">
        <v>299</v>
      </c>
    </row>
    <row r="1088" spans="1:2" x14ac:dyDescent="0.3">
      <c r="A1088" s="35" t="s">
        <v>930</v>
      </c>
      <c r="B1088" s="35">
        <v>299</v>
      </c>
    </row>
    <row r="1089" spans="1:2" x14ac:dyDescent="0.3">
      <c r="A1089" s="35" t="s">
        <v>931</v>
      </c>
      <c r="B1089" s="35">
        <v>199</v>
      </c>
    </row>
    <row r="1090" spans="1:2" x14ac:dyDescent="0.3">
      <c r="A1090" s="35" t="s">
        <v>932</v>
      </c>
      <c r="B1090" s="35">
        <v>249</v>
      </c>
    </row>
    <row r="1091" spans="1:2" x14ac:dyDescent="0.3">
      <c r="A1091" s="35" t="s">
        <v>933</v>
      </c>
      <c r="B1091" s="35">
        <v>399</v>
      </c>
    </row>
    <row r="1092" spans="1:2" x14ac:dyDescent="0.3">
      <c r="A1092" s="35" t="s">
        <v>934</v>
      </c>
      <c r="B1092" s="35">
        <v>199</v>
      </c>
    </row>
    <row r="1093" spans="1:2" x14ac:dyDescent="0.3">
      <c r="A1093" s="35" t="s">
        <v>935</v>
      </c>
      <c r="B1093" s="35">
        <v>399</v>
      </c>
    </row>
    <row r="1094" spans="1:2" x14ac:dyDescent="0.3">
      <c r="A1094" s="35" t="s">
        <v>936</v>
      </c>
      <c r="B1094" s="35">
        <v>399</v>
      </c>
    </row>
    <row r="1095" spans="1:2" x14ac:dyDescent="0.3">
      <c r="A1095" s="35" t="s">
        <v>937</v>
      </c>
      <c r="B1095" s="35">
        <v>499</v>
      </c>
    </row>
    <row r="1096" spans="1:2" x14ac:dyDescent="0.3">
      <c r="A1096" s="35" t="s">
        <v>938</v>
      </c>
      <c r="B1096" s="35">
        <v>799</v>
      </c>
    </row>
    <row r="1097" spans="1:2" x14ac:dyDescent="0.3">
      <c r="A1097" s="35" t="s">
        <v>939</v>
      </c>
      <c r="B1097" s="35">
        <v>399</v>
      </c>
    </row>
    <row r="1098" spans="1:2" x14ac:dyDescent="0.3">
      <c r="A1098" s="35" t="s">
        <v>940</v>
      </c>
      <c r="B1098" s="35">
        <v>149</v>
      </c>
    </row>
    <row r="1099" spans="1:2" x14ac:dyDescent="0.3">
      <c r="A1099" s="35" t="s">
        <v>941</v>
      </c>
      <c r="B1099" s="35">
        <v>229</v>
      </c>
    </row>
    <row r="1100" spans="1:2" x14ac:dyDescent="0.3">
      <c r="A1100" s="35" t="s">
        <v>942</v>
      </c>
      <c r="B1100" s="35">
        <v>169</v>
      </c>
    </row>
    <row r="1101" spans="1:2" x14ac:dyDescent="0.3">
      <c r="A1101" s="35" t="s">
        <v>943</v>
      </c>
      <c r="B1101" s="35">
        <v>299</v>
      </c>
    </row>
    <row r="1102" spans="1:2" x14ac:dyDescent="0.3">
      <c r="A1102" s="35" t="s">
        <v>944</v>
      </c>
      <c r="B1102" s="35">
        <v>799</v>
      </c>
    </row>
    <row r="1103" spans="1:2" x14ac:dyDescent="0.3">
      <c r="A1103" s="35" t="s">
        <v>945</v>
      </c>
      <c r="B1103" s="35">
        <v>249</v>
      </c>
    </row>
    <row r="1104" spans="1:2" x14ac:dyDescent="0.3">
      <c r="A1104" s="35" t="s">
        <v>946</v>
      </c>
      <c r="B1104" s="35">
        <v>399</v>
      </c>
    </row>
    <row r="1105" spans="1:2" x14ac:dyDescent="0.3">
      <c r="A1105" s="35" t="s">
        <v>947</v>
      </c>
      <c r="B1105" s="35">
        <v>299</v>
      </c>
    </row>
    <row r="1106" spans="1:2" x14ac:dyDescent="0.3">
      <c r="A1106" s="35" t="s">
        <v>1050</v>
      </c>
      <c r="B1106" s="35">
        <v>229</v>
      </c>
    </row>
    <row r="1107" spans="1:2" x14ac:dyDescent="0.3">
      <c r="A1107" s="35" t="s">
        <v>1051</v>
      </c>
      <c r="B1107" s="35">
        <v>349</v>
      </c>
    </row>
    <row r="1108" spans="1:2" x14ac:dyDescent="0.3">
      <c r="A1108" s="35" t="s">
        <v>1052</v>
      </c>
      <c r="B1108" s="35">
        <v>99</v>
      </c>
    </row>
    <row r="1109" spans="1:2" x14ac:dyDescent="0.3">
      <c r="A1109" s="35" t="s">
        <v>1053</v>
      </c>
      <c r="B1109" s="35">
        <v>299</v>
      </c>
    </row>
    <row r="1110" spans="1:2" x14ac:dyDescent="0.3">
      <c r="A1110" s="35" t="s">
        <v>1054</v>
      </c>
      <c r="B1110" s="35">
        <v>199</v>
      </c>
    </row>
    <row r="1111" spans="1:2" x14ac:dyDescent="0.3">
      <c r="A1111" s="35" t="s">
        <v>1055</v>
      </c>
      <c r="B1111" s="35">
        <v>399</v>
      </c>
    </row>
    <row r="1112" spans="1:2" x14ac:dyDescent="0.3">
      <c r="A1112" s="35" t="s">
        <v>1056</v>
      </c>
      <c r="B1112" s="35">
        <v>149</v>
      </c>
    </row>
    <row r="1113" spans="1:2" x14ac:dyDescent="0.3">
      <c r="A1113" s="35" t="s">
        <v>1057</v>
      </c>
      <c r="B1113" s="35">
        <v>299</v>
      </c>
    </row>
    <row r="1114" spans="1:2" x14ac:dyDescent="0.3">
      <c r="A1114" s="35" t="s">
        <v>1058</v>
      </c>
      <c r="B1114" s="35">
        <v>299</v>
      </c>
    </row>
    <row r="1115" spans="1:2" x14ac:dyDescent="0.3">
      <c r="A1115" s="35" t="s">
        <v>1059</v>
      </c>
      <c r="B1115" s="35">
        <v>249</v>
      </c>
    </row>
    <row r="1116" spans="1:2" x14ac:dyDescent="0.3">
      <c r="A1116" s="35" t="s">
        <v>1060</v>
      </c>
      <c r="B1116" s="35">
        <v>299</v>
      </c>
    </row>
    <row r="1117" spans="1:2" x14ac:dyDescent="0.3">
      <c r="A1117" s="35" t="s">
        <v>1061</v>
      </c>
      <c r="B1117" s="35">
        <v>299</v>
      </c>
    </row>
    <row r="1118" spans="1:2" x14ac:dyDescent="0.3">
      <c r="A1118" s="35" t="s">
        <v>1062</v>
      </c>
      <c r="B1118" s="35">
        <v>499</v>
      </c>
    </row>
    <row r="1119" spans="1:2" x14ac:dyDescent="0.3">
      <c r="A1119" s="35" t="s">
        <v>1063</v>
      </c>
      <c r="B1119" s="35">
        <v>399</v>
      </c>
    </row>
    <row r="1120" spans="1:2" x14ac:dyDescent="0.3">
      <c r="A1120" s="35" t="s">
        <v>1064</v>
      </c>
      <c r="B1120" s="35">
        <v>429</v>
      </c>
    </row>
    <row r="1121" spans="1:2" x14ac:dyDescent="0.3">
      <c r="A1121" s="35" t="s">
        <v>1065</v>
      </c>
      <c r="B1121" s="35">
        <v>499</v>
      </c>
    </row>
    <row r="1122" spans="1:2" x14ac:dyDescent="0.3">
      <c r="A1122" s="35" t="s">
        <v>1066</v>
      </c>
      <c r="B1122" s="35">
        <v>549</v>
      </c>
    </row>
    <row r="1123" spans="1:2" x14ac:dyDescent="0.3">
      <c r="A1123" s="35" t="s">
        <v>1067</v>
      </c>
      <c r="B1123" s="35">
        <v>599</v>
      </c>
    </row>
    <row r="1124" spans="1:2" x14ac:dyDescent="0.3">
      <c r="A1124" s="35" t="s">
        <v>1068</v>
      </c>
      <c r="B1124" s="35">
        <v>249</v>
      </c>
    </row>
    <row r="1125" spans="1:2" x14ac:dyDescent="0.3">
      <c r="A1125" s="35" t="s">
        <v>1069</v>
      </c>
      <c r="B1125" s="35">
        <v>299</v>
      </c>
    </row>
    <row r="1126" spans="1:2" x14ac:dyDescent="0.3">
      <c r="A1126" s="35" t="s">
        <v>1070</v>
      </c>
      <c r="B1126" s="35">
        <v>249</v>
      </c>
    </row>
    <row r="1127" spans="1:2" x14ac:dyDescent="0.3">
      <c r="A1127" s="35" t="s">
        <v>1071</v>
      </c>
      <c r="B1127" s="35">
        <v>699</v>
      </c>
    </row>
    <row r="1128" spans="1:2" x14ac:dyDescent="0.3">
      <c r="A1128" s="35" t="s">
        <v>1072</v>
      </c>
      <c r="B1128" s="35">
        <v>499</v>
      </c>
    </row>
    <row r="1129" spans="1:2" x14ac:dyDescent="0.3">
      <c r="A1129" s="35" t="s">
        <v>1073</v>
      </c>
      <c r="B1129" s="35">
        <v>299</v>
      </c>
    </row>
    <row r="1130" spans="1:2" x14ac:dyDescent="0.3">
      <c r="A1130" s="35" t="s">
        <v>1074</v>
      </c>
      <c r="B1130" s="35">
        <v>349</v>
      </c>
    </row>
    <row r="1131" spans="1:2" x14ac:dyDescent="0.3">
      <c r="A1131" s="35" t="s">
        <v>1075</v>
      </c>
      <c r="B1131" s="35">
        <v>249</v>
      </c>
    </row>
    <row r="1132" spans="1:2" x14ac:dyDescent="0.3">
      <c r="A1132" s="35" t="s">
        <v>1076</v>
      </c>
      <c r="B1132" s="35">
        <v>599</v>
      </c>
    </row>
    <row r="1133" spans="1:2" x14ac:dyDescent="0.3">
      <c r="A1133" s="35" t="s">
        <v>1077</v>
      </c>
      <c r="B1133" s="35">
        <v>399</v>
      </c>
    </row>
    <row r="1134" spans="1:2" x14ac:dyDescent="0.3">
      <c r="A1134" s="35" t="s">
        <v>1078</v>
      </c>
      <c r="B1134" s="35">
        <v>99</v>
      </c>
    </row>
    <row r="1135" spans="1:2" x14ac:dyDescent="0.3">
      <c r="A1135" s="35" t="s">
        <v>1079</v>
      </c>
      <c r="B1135" s="35">
        <v>249</v>
      </c>
    </row>
    <row r="1136" spans="1:2" x14ac:dyDescent="0.3">
      <c r="A1136" s="35" t="s">
        <v>1080</v>
      </c>
      <c r="B1136" s="35">
        <v>299</v>
      </c>
    </row>
    <row r="1137" spans="1:2" x14ac:dyDescent="0.3">
      <c r="A1137" s="35" t="s">
        <v>1081</v>
      </c>
      <c r="B1137" s="35">
        <v>299</v>
      </c>
    </row>
    <row r="1138" spans="1:2" x14ac:dyDescent="0.3">
      <c r="A1138" s="35" t="s">
        <v>1082</v>
      </c>
      <c r="B1138" s="35">
        <v>499</v>
      </c>
    </row>
    <row r="1139" spans="1:2" x14ac:dyDescent="0.3">
      <c r="A1139" s="35" t="s">
        <v>1083</v>
      </c>
      <c r="B1139" s="35">
        <v>249</v>
      </c>
    </row>
    <row r="1140" spans="1:2" x14ac:dyDescent="0.3">
      <c r="A1140" s="35" t="s">
        <v>1084</v>
      </c>
      <c r="B1140" s="35">
        <v>299</v>
      </c>
    </row>
    <row r="1141" spans="1:2" x14ac:dyDescent="0.3">
      <c r="A1141" s="35" t="s">
        <v>1085</v>
      </c>
      <c r="B1141" s="35">
        <v>249</v>
      </c>
    </row>
    <row r="1142" spans="1:2" x14ac:dyDescent="0.3">
      <c r="A1142" s="35" t="s">
        <v>1086</v>
      </c>
      <c r="B1142" s="35">
        <v>399</v>
      </c>
    </row>
    <row r="1143" spans="1:2" x14ac:dyDescent="0.3">
      <c r="A1143" s="35" t="s">
        <v>1087</v>
      </c>
      <c r="B1143" s="35">
        <v>599</v>
      </c>
    </row>
    <row r="1144" spans="1:2" x14ac:dyDescent="0.3">
      <c r="A1144" s="35" t="s">
        <v>1088</v>
      </c>
      <c r="B1144" s="35">
        <v>599</v>
      </c>
    </row>
    <row r="1145" spans="1:2" x14ac:dyDescent="0.3">
      <c r="A1145" s="35" t="s">
        <v>1089</v>
      </c>
      <c r="B1145" s="35">
        <v>499</v>
      </c>
    </row>
    <row r="1146" spans="1:2" x14ac:dyDescent="0.3">
      <c r="A1146" s="35" t="s">
        <v>1090</v>
      </c>
      <c r="B1146" s="35">
        <v>499</v>
      </c>
    </row>
    <row r="1147" spans="1:2" x14ac:dyDescent="0.3">
      <c r="A1147" s="35" t="s">
        <v>1091</v>
      </c>
      <c r="B1147" s="35">
        <v>599</v>
      </c>
    </row>
    <row r="1148" spans="1:2" x14ac:dyDescent="0.3">
      <c r="A1148" s="35" t="s">
        <v>1092</v>
      </c>
      <c r="B1148" s="35">
        <v>799</v>
      </c>
    </row>
    <row r="1149" spans="1:2" x14ac:dyDescent="0.3">
      <c r="A1149" s="35" t="s">
        <v>1093</v>
      </c>
      <c r="B1149" s="35">
        <v>599</v>
      </c>
    </row>
    <row r="1150" spans="1:2" x14ac:dyDescent="0.3">
      <c r="A1150" s="35" t="s">
        <v>1094</v>
      </c>
      <c r="B1150" s="35">
        <v>499</v>
      </c>
    </row>
    <row r="1151" spans="1:2" x14ac:dyDescent="0.3">
      <c r="A1151" s="35" t="s">
        <v>1095</v>
      </c>
      <c r="B1151" s="35">
        <v>399</v>
      </c>
    </row>
    <row r="1152" spans="1:2" x14ac:dyDescent="0.3">
      <c r="A1152" s="35" t="s">
        <v>1096</v>
      </c>
      <c r="B1152" s="35">
        <v>399</v>
      </c>
    </row>
    <row r="1153" spans="1:2" x14ac:dyDescent="0.3">
      <c r="A1153" s="35" t="s">
        <v>1097</v>
      </c>
      <c r="B1153" s="35">
        <v>299</v>
      </c>
    </row>
    <row r="1154" spans="1:2" x14ac:dyDescent="0.3">
      <c r="A1154" s="35" t="s">
        <v>1098</v>
      </c>
      <c r="B1154" s="35">
        <v>399</v>
      </c>
    </row>
    <row r="1155" spans="1:2" x14ac:dyDescent="0.3">
      <c r="A1155" s="35" t="s">
        <v>1099</v>
      </c>
      <c r="B1155" s="35">
        <v>199</v>
      </c>
    </row>
    <row r="1156" spans="1:2" x14ac:dyDescent="0.3">
      <c r="A1156" s="35" t="s">
        <v>1100</v>
      </c>
      <c r="B1156" s="35">
        <v>399</v>
      </c>
    </row>
    <row r="1157" spans="1:2" x14ac:dyDescent="0.3">
      <c r="A1157" s="35" t="s">
        <v>1101</v>
      </c>
      <c r="B1157" s="35">
        <v>399</v>
      </c>
    </row>
    <row r="1158" spans="1:2" x14ac:dyDescent="0.3">
      <c r="A1158" s="35" t="s">
        <v>1102</v>
      </c>
      <c r="B1158" s="35">
        <v>399</v>
      </c>
    </row>
    <row r="1159" spans="1:2" x14ac:dyDescent="0.3">
      <c r="A1159" s="35" t="s">
        <v>1103</v>
      </c>
      <c r="B1159" s="35">
        <v>599</v>
      </c>
    </row>
    <row r="1160" spans="1:2" x14ac:dyDescent="0.3">
      <c r="A1160" s="35" t="s">
        <v>1105</v>
      </c>
      <c r="B1160" s="35">
        <v>299</v>
      </c>
    </row>
    <row r="1161" spans="1:2" x14ac:dyDescent="0.3">
      <c r="A1161" s="35" t="s">
        <v>1106</v>
      </c>
      <c r="B1161" s="35">
        <v>499</v>
      </c>
    </row>
    <row r="1162" spans="1:2" x14ac:dyDescent="0.3">
      <c r="A1162" s="35" t="s">
        <v>1107</v>
      </c>
      <c r="B1162" s="35">
        <v>499</v>
      </c>
    </row>
    <row r="1163" spans="1:2" x14ac:dyDescent="0.3">
      <c r="A1163" s="35" t="s">
        <v>1108</v>
      </c>
      <c r="B1163" s="35">
        <v>399</v>
      </c>
    </row>
    <row r="1164" spans="1:2" x14ac:dyDescent="0.3">
      <c r="A1164" s="35" t="s">
        <v>1109</v>
      </c>
      <c r="B1164" s="35">
        <v>399</v>
      </c>
    </row>
    <row r="1165" spans="1:2" x14ac:dyDescent="0.3">
      <c r="A1165" s="35" t="s">
        <v>1110</v>
      </c>
      <c r="B1165" s="35">
        <v>399</v>
      </c>
    </row>
    <row r="1166" spans="1:2" x14ac:dyDescent="0.3">
      <c r="A1166" s="35" t="s">
        <v>1111</v>
      </c>
      <c r="B1166" s="35">
        <v>249</v>
      </c>
    </row>
    <row r="1167" spans="1:2" x14ac:dyDescent="0.3">
      <c r="A1167" s="35" t="s">
        <v>1112</v>
      </c>
      <c r="B1167" s="35">
        <v>499</v>
      </c>
    </row>
    <row r="1168" spans="1:2" x14ac:dyDescent="0.3">
      <c r="A1168" s="35" t="s">
        <v>1113</v>
      </c>
      <c r="B1168" s="35">
        <v>599</v>
      </c>
    </row>
    <row r="1169" spans="1:2" x14ac:dyDescent="0.3">
      <c r="A1169" s="35" t="s">
        <v>1114</v>
      </c>
      <c r="B1169" s="35">
        <v>799</v>
      </c>
    </row>
    <row r="1170" spans="1:2" x14ac:dyDescent="0.3">
      <c r="A1170" s="35" t="s">
        <v>1115</v>
      </c>
      <c r="B1170" s="35">
        <v>599</v>
      </c>
    </row>
    <row r="1171" spans="1:2" x14ac:dyDescent="0.3">
      <c r="A1171" s="35" t="s">
        <v>1116</v>
      </c>
      <c r="B1171" s="35">
        <v>399</v>
      </c>
    </row>
    <row r="1172" spans="1:2" x14ac:dyDescent="0.3">
      <c r="A1172" s="35" t="s">
        <v>1117</v>
      </c>
      <c r="B1172" s="35">
        <v>499</v>
      </c>
    </row>
    <row r="1173" spans="1:2" x14ac:dyDescent="0.3">
      <c r="A1173" s="35" t="s">
        <v>1118</v>
      </c>
      <c r="B1173" s="35">
        <v>599</v>
      </c>
    </row>
    <row r="1174" spans="1:2" x14ac:dyDescent="0.3">
      <c r="A1174" s="35" t="s">
        <v>1119</v>
      </c>
      <c r="B1174" s="35">
        <v>249</v>
      </c>
    </row>
    <row r="1175" spans="1:2" x14ac:dyDescent="0.3">
      <c r="A1175" s="35" t="s">
        <v>1120</v>
      </c>
      <c r="B1175" s="35">
        <v>299</v>
      </c>
    </row>
    <row r="1176" spans="1:2" x14ac:dyDescent="0.3">
      <c r="A1176" s="35" t="s">
        <v>1121</v>
      </c>
      <c r="B1176" s="35">
        <v>299</v>
      </c>
    </row>
    <row r="1177" spans="1:2" x14ac:dyDescent="0.3">
      <c r="A1177" s="35" t="s">
        <v>1122</v>
      </c>
      <c r="B1177" s="35">
        <v>229</v>
      </c>
    </row>
    <row r="1178" spans="1:2" x14ac:dyDescent="0.3">
      <c r="A1178" s="35" t="s">
        <v>1123</v>
      </c>
      <c r="B1178" s="35">
        <v>699</v>
      </c>
    </row>
    <row r="1179" spans="1:2" x14ac:dyDescent="0.3">
      <c r="A1179" s="35" t="s">
        <v>1124</v>
      </c>
      <c r="B1179" s="35">
        <v>799</v>
      </c>
    </row>
    <row r="1180" spans="1:2" x14ac:dyDescent="0.3">
      <c r="A1180" s="35" t="s">
        <v>1125</v>
      </c>
      <c r="B1180" s="35">
        <v>299</v>
      </c>
    </row>
    <row r="1181" spans="1:2" x14ac:dyDescent="0.3">
      <c r="A1181" s="35" t="s">
        <v>1126</v>
      </c>
      <c r="B1181" s="35">
        <v>199</v>
      </c>
    </row>
    <row r="1182" spans="1:2" x14ac:dyDescent="0.3">
      <c r="A1182" s="35" t="s">
        <v>1127</v>
      </c>
      <c r="B1182" s="35">
        <v>299</v>
      </c>
    </row>
    <row r="1183" spans="1:2" x14ac:dyDescent="0.3">
      <c r="A1183" s="35" t="s">
        <v>1128</v>
      </c>
      <c r="B1183" s="35">
        <v>499</v>
      </c>
    </row>
    <row r="1184" spans="1:2" x14ac:dyDescent="0.3">
      <c r="A1184" s="35" t="s">
        <v>1129</v>
      </c>
      <c r="B1184" s="35">
        <v>399</v>
      </c>
    </row>
    <row r="1185" spans="1:2" x14ac:dyDescent="0.3">
      <c r="A1185" s="35" t="s">
        <v>1130</v>
      </c>
      <c r="B1185" s="35">
        <v>299</v>
      </c>
    </row>
    <row r="1186" spans="1:2" x14ac:dyDescent="0.3">
      <c r="A1186" s="35" t="s">
        <v>1131</v>
      </c>
      <c r="B1186" s="35">
        <v>199</v>
      </c>
    </row>
    <row r="1187" spans="1:2" x14ac:dyDescent="0.3">
      <c r="A1187" s="35" t="s">
        <v>1132</v>
      </c>
      <c r="B1187" s="35">
        <v>299</v>
      </c>
    </row>
    <row r="1188" spans="1:2" x14ac:dyDescent="0.3">
      <c r="A1188" s="35" t="s">
        <v>1133</v>
      </c>
      <c r="B1188" s="35">
        <v>299</v>
      </c>
    </row>
    <row r="1189" spans="1:2" x14ac:dyDescent="0.3">
      <c r="A1189" s="35" t="s">
        <v>1134</v>
      </c>
      <c r="B1189" s="35">
        <v>299</v>
      </c>
    </row>
    <row r="1190" spans="1:2" x14ac:dyDescent="0.3">
      <c r="A1190" s="35" t="s">
        <v>1135</v>
      </c>
      <c r="B1190" s="35">
        <v>249</v>
      </c>
    </row>
    <row r="1191" spans="1:2" x14ac:dyDescent="0.3">
      <c r="A1191" s="35" t="s">
        <v>1136</v>
      </c>
      <c r="B1191" s="35">
        <v>149</v>
      </c>
    </row>
    <row r="1192" spans="1:2" x14ac:dyDescent="0.3">
      <c r="A1192" s="35" t="s">
        <v>1137</v>
      </c>
      <c r="B1192" s="35">
        <v>249</v>
      </c>
    </row>
    <row r="1193" spans="1:2" x14ac:dyDescent="0.3">
      <c r="A1193" s="35" t="s">
        <v>1138</v>
      </c>
      <c r="B1193" s="35">
        <v>299</v>
      </c>
    </row>
    <row r="1194" spans="1:2" x14ac:dyDescent="0.3">
      <c r="A1194" s="35" t="s">
        <v>1139</v>
      </c>
      <c r="B1194" s="35">
        <v>299</v>
      </c>
    </row>
    <row r="1195" spans="1:2" x14ac:dyDescent="0.3">
      <c r="A1195" s="35" t="s">
        <v>1140</v>
      </c>
      <c r="B1195" s="35">
        <v>199</v>
      </c>
    </row>
    <row r="1196" spans="1:2" x14ac:dyDescent="0.3">
      <c r="A1196" s="35" t="s">
        <v>1141</v>
      </c>
      <c r="B1196" s="35">
        <v>249</v>
      </c>
    </row>
    <row r="1197" spans="1:2" x14ac:dyDescent="0.3">
      <c r="A1197" s="35" t="s">
        <v>1142</v>
      </c>
      <c r="B1197" s="35">
        <v>399</v>
      </c>
    </row>
    <row r="1198" spans="1:2" x14ac:dyDescent="0.3">
      <c r="A1198" s="35" t="s">
        <v>1143</v>
      </c>
      <c r="B1198" s="35">
        <v>249</v>
      </c>
    </row>
    <row r="1199" spans="1:2" x14ac:dyDescent="0.3">
      <c r="A1199" s="35" t="s">
        <v>1144</v>
      </c>
      <c r="B1199" s="35">
        <v>99</v>
      </c>
    </row>
    <row r="1200" spans="1:2" x14ac:dyDescent="0.3">
      <c r="A1200" s="35" t="s">
        <v>1145</v>
      </c>
      <c r="B1200" s="35">
        <v>99</v>
      </c>
    </row>
    <row r="1201" spans="1:2" x14ac:dyDescent="0.3">
      <c r="A1201" s="35" t="s">
        <v>1146</v>
      </c>
      <c r="B1201" s="35">
        <v>149</v>
      </c>
    </row>
    <row r="1202" spans="1:2" x14ac:dyDescent="0.3">
      <c r="A1202" s="35" t="s">
        <v>1147</v>
      </c>
      <c r="B1202" s="35">
        <v>249</v>
      </c>
    </row>
    <row r="1203" spans="1:2" x14ac:dyDescent="0.3">
      <c r="A1203" s="35" t="s">
        <v>1148</v>
      </c>
      <c r="B1203" s="35">
        <v>199</v>
      </c>
    </row>
    <row r="1204" spans="1:2" x14ac:dyDescent="0.3">
      <c r="A1204" s="35" t="s">
        <v>1149</v>
      </c>
      <c r="B1204" s="35">
        <v>199</v>
      </c>
    </row>
    <row r="1205" spans="1:2" x14ac:dyDescent="0.3">
      <c r="A1205" s="35" t="s">
        <v>1150</v>
      </c>
      <c r="B1205" s="35">
        <v>299</v>
      </c>
    </row>
    <row r="1206" spans="1:2" x14ac:dyDescent="0.3">
      <c r="A1206" s="35" t="s">
        <v>1151</v>
      </c>
      <c r="B1206" s="35">
        <v>199</v>
      </c>
    </row>
    <row r="1207" spans="1:2" x14ac:dyDescent="0.3">
      <c r="A1207" s="35" t="s">
        <v>1152</v>
      </c>
      <c r="B1207" s="35">
        <v>399</v>
      </c>
    </row>
    <row r="1208" spans="1:2" x14ac:dyDescent="0.3">
      <c r="A1208" s="35" t="s">
        <v>1153</v>
      </c>
      <c r="B1208" s="35">
        <v>299</v>
      </c>
    </row>
    <row r="1209" spans="1:2" x14ac:dyDescent="0.3">
      <c r="A1209" s="35" t="s">
        <v>1154</v>
      </c>
      <c r="B1209" s="35">
        <v>249</v>
      </c>
    </row>
    <row r="1210" spans="1:2" x14ac:dyDescent="0.3">
      <c r="A1210" s="35" t="s">
        <v>1155</v>
      </c>
      <c r="B1210" s="35">
        <v>249</v>
      </c>
    </row>
    <row r="1211" spans="1:2" x14ac:dyDescent="0.3">
      <c r="A1211" s="35" t="s">
        <v>1156</v>
      </c>
      <c r="B1211" s="35">
        <v>349</v>
      </c>
    </row>
    <row r="1212" spans="1:2" x14ac:dyDescent="0.3">
      <c r="A1212" s="35" t="s">
        <v>1157</v>
      </c>
      <c r="B1212" s="35">
        <v>249</v>
      </c>
    </row>
    <row r="1213" spans="1:2" x14ac:dyDescent="0.3">
      <c r="A1213" s="35" t="s">
        <v>1158</v>
      </c>
      <c r="B1213" s="35">
        <v>349</v>
      </c>
    </row>
    <row r="1214" spans="1:2" x14ac:dyDescent="0.3">
      <c r="A1214" s="35" t="s">
        <v>1159</v>
      </c>
      <c r="B1214" s="35">
        <v>299</v>
      </c>
    </row>
    <row r="1215" spans="1:2" x14ac:dyDescent="0.3">
      <c r="A1215" s="35" t="s">
        <v>1160</v>
      </c>
      <c r="B1215" s="35">
        <v>149</v>
      </c>
    </row>
    <row r="1216" spans="1:2" x14ac:dyDescent="0.3">
      <c r="A1216" s="35" t="s">
        <v>1161</v>
      </c>
      <c r="B1216" s="35">
        <v>249</v>
      </c>
    </row>
    <row r="1217" spans="1:2" x14ac:dyDescent="0.3">
      <c r="A1217" s="35" t="s">
        <v>1162</v>
      </c>
      <c r="B1217" s="35">
        <v>199</v>
      </c>
    </row>
    <row r="1218" spans="1:2" x14ac:dyDescent="0.3">
      <c r="A1218" s="35" t="s">
        <v>1163</v>
      </c>
      <c r="B1218" s="35">
        <v>299</v>
      </c>
    </row>
    <row r="1219" spans="1:2" x14ac:dyDescent="0.3">
      <c r="A1219" s="35" t="s">
        <v>1164</v>
      </c>
      <c r="B1219" s="35">
        <v>399</v>
      </c>
    </row>
    <row r="1220" spans="1:2" x14ac:dyDescent="0.3">
      <c r="A1220" s="35" t="s">
        <v>1165</v>
      </c>
      <c r="B1220" s="35">
        <v>399</v>
      </c>
    </row>
    <row r="1221" spans="1:2" x14ac:dyDescent="0.3">
      <c r="A1221" s="35" t="s">
        <v>1166</v>
      </c>
      <c r="B1221" s="35">
        <v>199</v>
      </c>
    </row>
    <row r="1222" spans="1:2" x14ac:dyDescent="0.3">
      <c r="A1222" s="35" t="s">
        <v>1167</v>
      </c>
      <c r="B1222" s="35">
        <v>249</v>
      </c>
    </row>
    <row r="1223" spans="1:2" x14ac:dyDescent="0.3">
      <c r="A1223" s="35" t="s">
        <v>1168</v>
      </c>
      <c r="B1223" s="35">
        <v>149</v>
      </c>
    </row>
    <row r="1224" spans="1:2" x14ac:dyDescent="0.3">
      <c r="A1224" s="35" t="s">
        <v>1169</v>
      </c>
      <c r="B1224" s="35">
        <v>249</v>
      </c>
    </row>
    <row r="1225" spans="1:2" x14ac:dyDescent="0.3">
      <c r="A1225" s="35" t="s">
        <v>1170</v>
      </c>
      <c r="B1225" s="35">
        <v>299</v>
      </c>
    </row>
    <row r="1226" spans="1:2" x14ac:dyDescent="0.3">
      <c r="A1226" s="35" t="s">
        <v>1171</v>
      </c>
      <c r="B1226" s="35">
        <v>299</v>
      </c>
    </row>
    <row r="1227" spans="1:2" x14ac:dyDescent="0.3">
      <c r="A1227" s="35" t="s">
        <v>1172</v>
      </c>
      <c r="B1227" s="35">
        <v>199</v>
      </c>
    </row>
    <row r="1228" spans="1:2" x14ac:dyDescent="0.3">
      <c r="A1228" s="35" t="s">
        <v>1173</v>
      </c>
      <c r="B1228" s="35">
        <v>299</v>
      </c>
    </row>
    <row r="1229" spans="1:2" x14ac:dyDescent="0.3">
      <c r="A1229" s="35" t="s">
        <v>1174</v>
      </c>
      <c r="B1229" s="35">
        <v>399</v>
      </c>
    </row>
    <row r="1230" spans="1:2" x14ac:dyDescent="0.3">
      <c r="A1230" s="35" t="s">
        <v>1175</v>
      </c>
      <c r="B1230" s="35">
        <v>199</v>
      </c>
    </row>
    <row r="1231" spans="1:2" x14ac:dyDescent="0.3">
      <c r="A1231" s="35" t="s">
        <v>1176</v>
      </c>
      <c r="B1231" s="35">
        <v>149</v>
      </c>
    </row>
    <row r="1232" spans="1:2" x14ac:dyDescent="0.3">
      <c r="A1232" s="35" t="s">
        <v>1177</v>
      </c>
      <c r="B1232" s="35">
        <v>199</v>
      </c>
    </row>
    <row r="1233" spans="1:2" x14ac:dyDescent="0.3">
      <c r="A1233" s="35" t="s">
        <v>1178</v>
      </c>
      <c r="B1233" s="35">
        <v>499</v>
      </c>
    </row>
    <row r="1234" spans="1:2" x14ac:dyDescent="0.3">
      <c r="A1234" s="35" t="s">
        <v>1179</v>
      </c>
      <c r="B1234" s="35">
        <v>99</v>
      </c>
    </row>
    <row r="1235" spans="1:2" x14ac:dyDescent="0.3">
      <c r="A1235" s="35" t="s">
        <v>1180</v>
      </c>
      <c r="B1235" s="35">
        <v>149</v>
      </c>
    </row>
    <row r="1236" spans="1:2" x14ac:dyDescent="0.3">
      <c r="A1236" s="35" t="s">
        <v>1181</v>
      </c>
      <c r="B1236" s="35">
        <v>199</v>
      </c>
    </row>
    <row r="1237" spans="1:2" x14ac:dyDescent="0.3">
      <c r="A1237" s="35" t="s">
        <v>1182</v>
      </c>
      <c r="B1237" s="35">
        <v>259</v>
      </c>
    </row>
    <row r="1238" spans="1:2" x14ac:dyDescent="0.3">
      <c r="A1238" s="35" t="s">
        <v>1183</v>
      </c>
      <c r="B1238" s="35">
        <v>199</v>
      </c>
    </row>
    <row r="1239" spans="1:2" x14ac:dyDescent="0.3">
      <c r="A1239" s="35" t="s">
        <v>1184</v>
      </c>
      <c r="B1239" s="35">
        <v>199</v>
      </c>
    </row>
    <row r="1240" spans="1:2" x14ac:dyDescent="0.3">
      <c r="A1240" s="35" t="s">
        <v>1185</v>
      </c>
      <c r="B1240" s="35">
        <v>199</v>
      </c>
    </row>
    <row r="1241" spans="1:2" x14ac:dyDescent="0.3">
      <c r="A1241" s="35" t="s">
        <v>1186</v>
      </c>
      <c r="B1241" s="35">
        <v>249</v>
      </c>
    </row>
    <row r="1242" spans="1:2" x14ac:dyDescent="0.3">
      <c r="A1242" s="35" t="s">
        <v>1187</v>
      </c>
      <c r="B1242" s="35">
        <v>299</v>
      </c>
    </row>
    <row r="1243" spans="1:2" x14ac:dyDescent="0.3">
      <c r="A1243" s="35" t="s">
        <v>1188</v>
      </c>
      <c r="B1243" s="35">
        <v>399</v>
      </c>
    </row>
    <row r="1244" spans="1:2" x14ac:dyDescent="0.3">
      <c r="A1244" s="35" t="s">
        <v>1189</v>
      </c>
      <c r="B1244" s="35">
        <v>429</v>
      </c>
    </row>
    <row r="1245" spans="1:2" x14ac:dyDescent="0.3">
      <c r="A1245" s="35" t="s">
        <v>1190</v>
      </c>
      <c r="B1245" s="35">
        <v>449</v>
      </c>
    </row>
    <row r="1246" spans="1:2" x14ac:dyDescent="0.3">
      <c r="A1246" s="35" t="s">
        <v>1191</v>
      </c>
      <c r="B1246" s="35">
        <v>549</v>
      </c>
    </row>
    <row r="1247" spans="1:2" x14ac:dyDescent="0.3">
      <c r="A1247" s="35" t="s">
        <v>1192</v>
      </c>
      <c r="B1247" s="35">
        <v>599</v>
      </c>
    </row>
    <row r="1248" spans="1:2" x14ac:dyDescent="0.3">
      <c r="A1248" s="35" t="s">
        <v>1193</v>
      </c>
      <c r="B1248" s="35">
        <v>399</v>
      </c>
    </row>
    <row r="1249" spans="1:2" x14ac:dyDescent="0.3">
      <c r="A1249" s="35" t="s">
        <v>1194</v>
      </c>
      <c r="B1249" s="35">
        <v>199</v>
      </c>
    </row>
    <row r="1250" spans="1:2" x14ac:dyDescent="0.3">
      <c r="A1250" s="35" t="s">
        <v>1195</v>
      </c>
      <c r="B1250" s="35">
        <v>199</v>
      </c>
    </row>
    <row r="1251" spans="1:2" x14ac:dyDescent="0.3">
      <c r="A1251" s="35" t="s">
        <v>1196</v>
      </c>
      <c r="B1251" s="35">
        <v>249</v>
      </c>
    </row>
    <row r="1252" spans="1:2" x14ac:dyDescent="0.3">
      <c r="A1252" s="35" t="s">
        <v>1197</v>
      </c>
      <c r="B1252" s="35">
        <v>199</v>
      </c>
    </row>
    <row r="1253" spans="1:2" x14ac:dyDescent="0.3">
      <c r="A1253" s="35" t="s">
        <v>1198</v>
      </c>
      <c r="B1253" s="35">
        <v>299</v>
      </c>
    </row>
    <row r="1254" spans="1:2" x14ac:dyDescent="0.3">
      <c r="A1254" s="35" t="s">
        <v>1199</v>
      </c>
      <c r="B1254" s="35">
        <v>199</v>
      </c>
    </row>
    <row r="1255" spans="1:2" x14ac:dyDescent="0.3">
      <c r="A1255" s="35" t="s">
        <v>1200</v>
      </c>
      <c r="B1255" s="35">
        <v>99</v>
      </c>
    </row>
    <row r="1256" spans="1:2" x14ac:dyDescent="0.3">
      <c r="A1256" s="35" t="s">
        <v>1201</v>
      </c>
      <c r="B1256" s="35">
        <v>159</v>
      </c>
    </row>
    <row r="1257" spans="1:2" x14ac:dyDescent="0.3">
      <c r="A1257" s="35" t="s">
        <v>1202</v>
      </c>
      <c r="B1257" s="35">
        <v>349</v>
      </c>
    </row>
    <row r="1258" spans="1:2" x14ac:dyDescent="0.3">
      <c r="A1258" s="35" t="s">
        <v>1203</v>
      </c>
      <c r="B1258" s="35">
        <v>199</v>
      </c>
    </row>
    <row r="1259" spans="1:2" x14ac:dyDescent="0.3">
      <c r="A1259" s="35" t="s">
        <v>1204</v>
      </c>
      <c r="B1259" s="35">
        <v>249</v>
      </c>
    </row>
    <row r="1260" spans="1:2" x14ac:dyDescent="0.3">
      <c r="A1260" s="35" t="s">
        <v>1205</v>
      </c>
      <c r="B1260" s="35">
        <v>299</v>
      </c>
    </row>
    <row r="1261" spans="1:2" x14ac:dyDescent="0.3">
      <c r="A1261" s="35" t="s">
        <v>1206</v>
      </c>
      <c r="B1261" s="35">
        <v>229</v>
      </c>
    </row>
    <row r="1262" spans="1:2" x14ac:dyDescent="0.3">
      <c r="A1262" s="35" t="s">
        <v>1207</v>
      </c>
      <c r="B1262" s="35">
        <v>399</v>
      </c>
    </row>
    <row r="1263" spans="1:2" x14ac:dyDescent="0.3">
      <c r="A1263" s="35" t="s">
        <v>1208</v>
      </c>
      <c r="B1263" s="35">
        <v>499</v>
      </c>
    </row>
    <row r="1264" spans="1:2" x14ac:dyDescent="0.3">
      <c r="A1264" s="35" t="s">
        <v>1209</v>
      </c>
      <c r="B1264" s="35">
        <v>249</v>
      </c>
    </row>
    <row r="1265" spans="1:2" x14ac:dyDescent="0.3">
      <c r="A1265" s="35" t="s">
        <v>1210</v>
      </c>
      <c r="B1265" s="35">
        <v>299</v>
      </c>
    </row>
    <row r="1266" spans="1:2" x14ac:dyDescent="0.3">
      <c r="A1266" s="35" t="s">
        <v>1211</v>
      </c>
      <c r="B1266" s="35">
        <v>499</v>
      </c>
    </row>
    <row r="1267" spans="1:2" x14ac:dyDescent="0.3">
      <c r="A1267" s="35" t="s">
        <v>1212</v>
      </c>
      <c r="B1267" s="35">
        <v>249</v>
      </c>
    </row>
    <row r="1268" spans="1:2" x14ac:dyDescent="0.3">
      <c r="A1268" s="35" t="s">
        <v>1213</v>
      </c>
      <c r="B1268" s="35">
        <v>249</v>
      </c>
    </row>
    <row r="1269" spans="1:2" x14ac:dyDescent="0.3">
      <c r="A1269" s="35" t="s">
        <v>1214</v>
      </c>
      <c r="B1269" s="35">
        <v>299</v>
      </c>
    </row>
    <row r="1270" spans="1:2" x14ac:dyDescent="0.3">
      <c r="A1270" s="35" t="s">
        <v>1215</v>
      </c>
      <c r="B1270" s="35">
        <v>299</v>
      </c>
    </row>
    <row r="1271" spans="1:2" x14ac:dyDescent="0.3">
      <c r="A1271" s="35" t="s">
        <v>1216</v>
      </c>
      <c r="B1271" s="35">
        <v>199</v>
      </c>
    </row>
    <row r="1272" spans="1:2" x14ac:dyDescent="0.3">
      <c r="A1272" s="35" t="s">
        <v>1217</v>
      </c>
      <c r="B1272" s="35">
        <v>399</v>
      </c>
    </row>
    <row r="1273" spans="1:2" x14ac:dyDescent="0.3">
      <c r="A1273" s="35" t="s">
        <v>1218</v>
      </c>
      <c r="B1273" s="35">
        <v>129</v>
      </c>
    </row>
    <row r="1274" spans="1:2" x14ac:dyDescent="0.3">
      <c r="A1274" s="35" t="s">
        <v>1219</v>
      </c>
      <c r="B1274" s="35">
        <v>599</v>
      </c>
    </row>
    <row r="1275" spans="1:2" x14ac:dyDescent="0.3">
      <c r="A1275" s="35" t="s">
        <v>1220</v>
      </c>
      <c r="B1275" s="35">
        <v>299</v>
      </c>
    </row>
    <row r="1276" spans="1:2" x14ac:dyDescent="0.3">
      <c r="A1276" s="35" t="s">
        <v>1221</v>
      </c>
      <c r="B1276" s="35">
        <v>399</v>
      </c>
    </row>
    <row r="1277" spans="1:2" x14ac:dyDescent="0.3">
      <c r="A1277" s="35" t="s">
        <v>1222</v>
      </c>
      <c r="B1277" s="35">
        <v>429</v>
      </c>
    </row>
    <row r="1278" spans="1:2" x14ac:dyDescent="0.3">
      <c r="A1278" s="35" t="s">
        <v>1223</v>
      </c>
      <c r="B1278" s="35">
        <v>499</v>
      </c>
    </row>
    <row r="1279" spans="1:2" x14ac:dyDescent="0.3">
      <c r="A1279" s="35" t="s">
        <v>1224</v>
      </c>
      <c r="B1279" s="35">
        <v>599</v>
      </c>
    </row>
    <row r="1280" spans="1:2" x14ac:dyDescent="0.3">
      <c r="A1280" s="35" t="s">
        <v>1225</v>
      </c>
      <c r="B1280" s="35">
        <v>549</v>
      </c>
    </row>
    <row r="1281" spans="1:2" x14ac:dyDescent="0.3">
      <c r="A1281" s="35" t="s">
        <v>1226</v>
      </c>
      <c r="B1281" s="35">
        <v>399</v>
      </c>
    </row>
    <row r="1282" spans="1:2" x14ac:dyDescent="0.3">
      <c r="A1282" s="35" t="s">
        <v>1227</v>
      </c>
      <c r="B1282" s="35">
        <v>499</v>
      </c>
    </row>
    <row r="1283" spans="1:2" x14ac:dyDescent="0.3">
      <c r="A1283" s="35" t="s">
        <v>1228</v>
      </c>
      <c r="B1283" s="35">
        <v>399</v>
      </c>
    </row>
    <row r="1284" spans="1:2" x14ac:dyDescent="0.3">
      <c r="A1284" s="35" t="s">
        <v>1229</v>
      </c>
      <c r="B1284" s="35">
        <v>99</v>
      </c>
    </row>
    <row r="1285" spans="1:2" x14ac:dyDescent="0.3">
      <c r="A1285" s="35" t="s">
        <v>1230</v>
      </c>
      <c r="B1285" s="35">
        <v>99</v>
      </c>
    </row>
    <row r="1286" spans="1:2" x14ac:dyDescent="0.3">
      <c r="A1286" s="35" t="s">
        <v>1231</v>
      </c>
      <c r="B1286" s="35">
        <v>129</v>
      </c>
    </row>
    <row r="1287" spans="1:2" x14ac:dyDescent="0.3">
      <c r="A1287" s="35" t="s">
        <v>1232</v>
      </c>
      <c r="B1287" s="35">
        <v>149</v>
      </c>
    </row>
    <row r="1288" spans="1:2" x14ac:dyDescent="0.3">
      <c r="A1288" s="35" t="s">
        <v>1233</v>
      </c>
      <c r="B1288" s="35">
        <v>399</v>
      </c>
    </row>
    <row r="1289" spans="1:2" x14ac:dyDescent="0.3">
      <c r="A1289" s="35" t="s">
        <v>1234</v>
      </c>
      <c r="B1289" s="35">
        <v>149</v>
      </c>
    </row>
    <row r="1290" spans="1:2" x14ac:dyDescent="0.3">
      <c r="A1290" s="35" t="s">
        <v>1235</v>
      </c>
      <c r="B1290" s="35">
        <v>129</v>
      </c>
    </row>
    <row r="1291" spans="1:2" x14ac:dyDescent="0.3">
      <c r="A1291" s="35" t="s">
        <v>1236</v>
      </c>
      <c r="B1291" s="35">
        <v>299</v>
      </c>
    </row>
    <row r="1292" spans="1:2" x14ac:dyDescent="0.3">
      <c r="A1292" s="35" t="s">
        <v>1237</v>
      </c>
      <c r="B1292" s="35">
        <v>99</v>
      </c>
    </row>
    <row r="1293" spans="1:2" x14ac:dyDescent="0.3">
      <c r="A1293" s="35" t="s">
        <v>1238</v>
      </c>
      <c r="B1293" s="35">
        <v>149</v>
      </c>
    </row>
    <row r="1294" spans="1:2" x14ac:dyDescent="0.3">
      <c r="A1294" s="35" t="s">
        <v>1239</v>
      </c>
      <c r="B1294" s="35">
        <v>249</v>
      </c>
    </row>
    <row r="1295" spans="1:2" x14ac:dyDescent="0.3">
      <c r="A1295" s="35" t="s">
        <v>1240</v>
      </c>
      <c r="B1295" s="35">
        <v>299</v>
      </c>
    </row>
    <row r="1296" spans="1:2" x14ac:dyDescent="0.3">
      <c r="A1296" s="35" t="s">
        <v>1241</v>
      </c>
      <c r="B1296" s="35">
        <v>149</v>
      </c>
    </row>
    <row r="1297" spans="1:2" x14ac:dyDescent="0.3">
      <c r="A1297" s="35" t="s">
        <v>1242</v>
      </c>
      <c r="B1297" s="35">
        <v>199</v>
      </c>
    </row>
    <row r="1298" spans="1:2" x14ac:dyDescent="0.3">
      <c r="A1298" s="35" t="s">
        <v>1243</v>
      </c>
      <c r="B1298" s="35">
        <v>299</v>
      </c>
    </row>
    <row r="1299" spans="1:2" x14ac:dyDescent="0.3">
      <c r="A1299" s="35" t="s">
        <v>1244</v>
      </c>
      <c r="B1299" s="35">
        <v>149</v>
      </c>
    </row>
    <row r="1300" spans="1:2" x14ac:dyDescent="0.3">
      <c r="A1300" s="35" t="s">
        <v>1245</v>
      </c>
      <c r="B1300" s="35">
        <v>299</v>
      </c>
    </row>
    <row r="1301" spans="1:2" x14ac:dyDescent="0.3">
      <c r="A1301" s="35" t="s">
        <v>1246</v>
      </c>
      <c r="B1301" s="35">
        <v>299</v>
      </c>
    </row>
    <row r="1302" spans="1:2" x14ac:dyDescent="0.3">
      <c r="A1302" s="35" t="s">
        <v>1247</v>
      </c>
      <c r="B1302" s="35">
        <v>349</v>
      </c>
    </row>
    <row r="1303" spans="1:2" x14ac:dyDescent="0.3">
      <c r="A1303" s="35" t="s">
        <v>1248</v>
      </c>
      <c r="B1303" s="35">
        <v>399</v>
      </c>
    </row>
    <row r="1304" spans="1:2" x14ac:dyDescent="0.3">
      <c r="A1304" s="35" t="s">
        <v>1249</v>
      </c>
      <c r="B1304" s="35">
        <v>499</v>
      </c>
    </row>
    <row r="1305" spans="1:2" x14ac:dyDescent="0.3">
      <c r="A1305" s="35" t="s">
        <v>1250</v>
      </c>
      <c r="B1305" s="35">
        <v>399</v>
      </c>
    </row>
    <row r="1306" spans="1:2" x14ac:dyDescent="0.3">
      <c r="A1306" s="35" t="s">
        <v>1251</v>
      </c>
      <c r="B1306" s="35">
        <v>249</v>
      </c>
    </row>
    <row r="1307" spans="1:2" x14ac:dyDescent="0.3">
      <c r="A1307" s="35" t="s">
        <v>1252</v>
      </c>
      <c r="B1307" s="35">
        <v>299</v>
      </c>
    </row>
    <row r="1308" spans="1:2" x14ac:dyDescent="0.3">
      <c r="A1308" s="35" t="s">
        <v>1253</v>
      </c>
      <c r="B1308" s="35">
        <v>249</v>
      </c>
    </row>
    <row r="1309" spans="1:2" x14ac:dyDescent="0.3">
      <c r="A1309" s="35" t="s">
        <v>1254</v>
      </c>
      <c r="B1309" s="35">
        <v>249</v>
      </c>
    </row>
    <row r="1310" spans="1:2" x14ac:dyDescent="0.3">
      <c r="A1310" s="35" t="s">
        <v>1255</v>
      </c>
      <c r="B1310" s="35">
        <v>249</v>
      </c>
    </row>
    <row r="1311" spans="1:2" x14ac:dyDescent="0.3">
      <c r="A1311" s="35" t="s">
        <v>1256</v>
      </c>
      <c r="B1311" s="35">
        <v>349</v>
      </c>
    </row>
    <row r="1312" spans="1:2" x14ac:dyDescent="0.3">
      <c r="A1312" s="35" t="s">
        <v>1257</v>
      </c>
      <c r="B1312" s="35">
        <v>249</v>
      </c>
    </row>
    <row r="1313" spans="1:2" x14ac:dyDescent="0.3">
      <c r="A1313" s="35" t="s">
        <v>1258</v>
      </c>
      <c r="B1313" s="35">
        <v>399</v>
      </c>
    </row>
    <row r="1314" spans="1:2" x14ac:dyDescent="0.3">
      <c r="A1314" s="35" t="s">
        <v>1259</v>
      </c>
      <c r="B1314" s="35">
        <v>249</v>
      </c>
    </row>
    <row r="1315" spans="1:2" x14ac:dyDescent="0.3">
      <c r="A1315" s="35" t="s">
        <v>1260</v>
      </c>
      <c r="B1315" s="35">
        <v>299</v>
      </c>
    </row>
    <row r="1316" spans="1:2" x14ac:dyDescent="0.3">
      <c r="A1316" s="35" t="s">
        <v>1261</v>
      </c>
      <c r="B1316" s="35">
        <v>299</v>
      </c>
    </row>
    <row r="1317" spans="1:2" x14ac:dyDescent="0.3">
      <c r="A1317" s="35" t="s">
        <v>1262</v>
      </c>
      <c r="B1317" s="35">
        <v>200</v>
      </c>
    </row>
    <row r="1318" spans="1:2" x14ac:dyDescent="0.3">
      <c r="A1318" s="35" t="s">
        <v>1263</v>
      </c>
      <c r="B1318" s="35">
        <v>499</v>
      </c>
    </row>
    <row r="1319" spans="1:2" x14ac:dyDescent="0.3">
      <c r="A1319" s="35" t="s">
        <v>1264</v>
      </c>
      <c r="B1319" s="35">
        <v>399</v>
      </c>
    </row>
    <row r="1320" spans="1:2" x14ac:dyDescent="0.3">
      <c r="A1320" s="35" t="s">
        <v>1265</v>
      </c>
      <c r="B1320" s="35">
        <v>599</v>
      </c>
    </row>
    <row r="1321" spans="1:2" x14ac:dyDescent="0.3">
      <c r="A1321" s="35" t="s">
        <v>1266</v>
      </c>
      <c r="B1321" s="35">
        <v>599</v>
      </c>
    </row>
    <row r="1322" spans="1:2" x14ac:dyDescent="0.3">
      <c r="A1322" s="35" t="s">
        <v>1267</v>
      </c>
      <c r="B1322" s="35">
        <v>149</v>
      </c>
    </row>
    <row r="1323" spans="1:2" x14ac:dyDescent="0.3">
      <c r="A1323" s="35" t="s">
        <v>1268</v>
      </c>
      <c r="B1323" s="35">
        <v>449</v>
      </c>
    </row>
    <row r="1324" spans="1:2" x14ac:dyDescent="0.3">
      <c r="A1324" s="35" t="s">
        <v>1269</v>
      </c>
      <c r="B1324" s="35">
        <v>499</v>
      </c>
    </row>
    <row r="1325" spans="1:2" x14ac:dyDescent="0.3">
      <c r="A1325" s="35" t="s">
        <v>1270</v>
      </c>
      <c r="B1325" s="35">
        <v>199</v>
      </c>
    </row>
    <row r="1326" spans="1:2" x14ac:dyDescent="0.3">
      <c r="A1326" s="35" t="s">
        <v>1271</v>
      </c>
      <c r="B1326" s="35">
        <v>399</v>
      </c>
    </row>
    <row r="1327" spans="1:2" x14ac:dyDescent="0.3">
      <c r="A1327" s="35" t="s">
        <v>1272</v>
      </c>
      <c r="B1327" s="35">
        <v>599</v>
      </c>
    </row>
    <row r="1328" spans="1:2" x14ac:dyDescent="0.3">
      <c r="A1328" s="35" t="s">
        <v>1273</v>
      </c>
      <c r="B1328" s="35">
        <v>499</v>
      </c>
    </row>
    <row r="1329" spans="1:2" x14ac:dyDescent="0.3">
      <c r="A1329" s="35" t="s">
        <v>1274</v>
      </c>
      <c r="B1329" s="35">
        <v>599</v>
      </c>
    </row>
    <row r="1330" spans="1:2" x14ac:dyDescent="0.3">
      <c r="A1330" s="35" t="s">
        <v>1275</v>
      </c>
      <c r="B1330" s="35">
        <v>499</v>
      </c>
    </row>
    <row r="1331" spans="1:2" x14ac:dyDescent="0.3">
      <c r="A1331" s="35" t="s">
        <v>1276</v>
      </c>
      <c r="B1331" s="35">
        <v>299</v>
      </c>
    </row>
    <row r="1332" spans="1:2" x14ac:dyDescent="0.3">
      <c r="A1332" s="35" t="s">
        <v>1277</v>
      </c>
      <c r="B1332" s="35">
        <v>299</v>
      </c>
    </row>
    <row r="1333" spans="1:2" x14ac:dyDescent="0.3">
      <c r="A1333" s="35" t="s">
        <v>1278</v>
      </c>
      <c r="B1333" s="35">
        <v>299</v>
      </c>
    </row>
    <row r="1334" spans="1:2" x14ac:dyDescent="0.3">
      <c r="A1334" s="35" t="s">
        <v>1279</v>
      </c>
      <c r="B1334" s="35">
        <v>149</v>
      </c>
    </row>
    <row r="1335" spans="1:2" x14ac:dyDescent="0.3">
      <c r="A1335" s="35" t="s">
        <v>1280</v>
      </c>
      <c r="B1335" s="35">
        <v>199</v>
      </c>
    </row>
    <row r="1336" spans="1:2" x14ac:dyDescent="0.3">
      <c r="A1336" s="35" t="s">
        <v>1281</v>
      </c>
      <c r="B1336" s="35">
        <v>299</v>
      </c>
    </row>
    <row r="1337" spans="1:2" x14ac:dyDescent="0.3">
      <c r="A1337" s="35" t="s">
        <v>1282</v>
      </c>
      <c r="B1337" s="35">
        <v>129</v>
      </c>
    </row>
    <row r="1338" spans="1:2" x14ac:dyDescent="0.3">
      <c r="A1338" s="35" t="s">
        <v>1283</v>
      </c>
      <c r="B1338" s="35">
        <v>299</v>
      </c>
    </row>
    <row r="1339" spans="1:2" x14ac:dyDescent="0.3">
      <c r="A1339" s="35" t="s">
        <v>1284</v>
      </c>
      <c r="B1339" s="35">
        <v>199</v>
      </c>
    </row>
    <row r="1340" spans="1:2" x14ac:dyDescent="0.3">
      <c r="A1340" s="35" t="s">
        <v>1285</v>
      </c>
      <c r="B1340" s="35">
        <v>499</v>
      </c>
    </row>
    <row r="1341" spans="1:2" x14ac:dyDescent="0.3">
      <c r="A1341" s="35" t="s">
        <v>1286</v>
      </c>
      <c r="B1341" s="35">
        <v>599</v>
      </c>
    </row>
    <row r="1342" spans="1:2" x14ac:dyDescent="0.3">
      <c r="A1342" s="35" t="s">
        <v>1287</v>
      </c>
      <c r="B1342" s="35">
        <v>399</v>
      </c>
    </row>
    <row r="1343" spans="1:2" x14ac:dyDescent="0.3">
      <c r="A1343" s="35" t="s">
        <v>1288</v>
      </c>
      <c r="B1343" s="35">
        <v>399</v>
      </c>
    </row>
    <row r="1344" spans="1:2" x14ac:dyDescent="0.3">
      <c r="A1344" s="35" t="s">
        <v>1289</v>
      </c>
      <c r="B1344" s="35">
        <v>249</v>
      </c>
    </row>
    <row r="1345" spans="1:2" x14ac:dyDescent="0.3">
      <c r="A1345" s="35" t="s">
        <v>1290</v>
      </c>
      <c r="B1345" s="35">
        <v>299</v>
      </c>
    </row>
    <row r="1346" spans="1:2" x14ac:dyDescent="0.3">
      <c r="A1346" s="35" t="s">
        <v>1291</v>
      </c>
      <c r="B1346" s="35">
        <v>399</v>
      </c>
    </row>
    <row r="1347" spans="1:2" x14ac:dyDescent="0.3">
      <c r="A1347" s="35" t="s">
        <v>1292</v>
      </c>
      <c r="B1347" s="35">
        <v>399</v>
      </c>
    </row>
    <row r="1348" spans="1:2" x14ac:dyDescent="0.3">
      <c r="A1348" s="35" t="s">
        <v>1293</v>
      </c>
      <c r="B1348" s="35">
        <v>399</v>
      </c>
    </row>
    <row r="1349" spans="1:2" x14ac:dyDescent="0.3">
      <c r="A1349" s="35" t="s">
        <v>1294</v>
      </c>
      <c r="B1349" s="35">
        <v>299</v>
      </c>
    </row>
    <row r="1350" spans="1:2" x14ac:dyDescent="0.3">
      <c r="A1350" s="35" t="s">
        <v>1295</v>
      </c>
      <c r="B1350" s="35">
        <v>299</v>
      </c>
    </row>
    <row r="1351" spans="1:2" x14ac:dyDescent="0.3">
      <c r="A1351" s="35" t="s">
        <v>1298</v>
      </c>
      <c r="B1351" s="35">
        <v>299</v>
      </c>
    </row>
    <row r="1352" spans="1:2" x14ac:dyDescent="0.3">
      <c r="A1352" s="35" t="s">
        <v>1299</v>
      </c>
      <c r="B1352" s="35">
        <v>399</v>
      </c>
    </row>
    <row r="1353" spans="1:2" x14ac:dyDescent="0.3">
      <c r="A1353" s="35" t="s">
        <v>1300</v>
      </c>
      <c r="B1353" s="35">
        <v>299</v>
      </c>
    </row>
    <row r="1354" spans="1:2" x14ac:dyDescent="0.3">
      <c r="A1354" s="35" t="s">
        <v>1301</v>
      </c>
      <c r="B1354" s="35">
        <v>299</v>
      </c>
    </row>
    <row r="1355" spans="1:2" x14ac:dyDescent="0.3">
      <c r="A1355" s="35" t="s">
        <v>1302</v>
      </c>
      <c r="B1355" s="35">
        <v>449</v>
      </c>
    </row>
    <row r="1356" spans="1:2" x14ac:dyDescent="0.3">
      <c r="A1356" s="35" t="s">
        <v>1303</v>
      </c>
      <c r="B1356" s="35">
        <v>249</v>
      </c>
    </row>
    <row r="1357" spans="1:2" x14ac:dyDescent="0.3">
      <c r="A1357" s="35" t="s">
        <v>1304</v>
      </c>
      <c r="B1357" s="35">
        <v>299</v>
      </c>
    </row>
    <row r="1358" spans="1:2" x14ac:dyDescent="0.3">
      <c r="A1358" s="35" t="s">
        <v>1305</v>
      </c>
      <c r="B1358" s="35">
        <v>399</v>
      </c>
    </row>
    <row r="1359" spans="1:2" x14ac:dyDescent="0.3">
      <c r="A1359" s="35" t="s">
        <v>1306</v>
      </c>
      <c r="B1359" s="35">
        <v>249</v>
      </c>
    </row>
    <row r="1360" spans="1:2" x14ac:dyDescent="0.3">
      <c r="A1360" s="35" t="s">
        <v>1307</v>
      </c>
      <c r="B1360" s="35">
        <v>199</v>
      </c>
    </row>
    <row r="1361" spans="1:2" x14ac:dyDescent="0.3">
      <c r="A1361" s="35" t="s">
        <v>1308</v>
      </c>
      <c r="B1361" s="35">
        <v>149</v>
      </c>
    </row>
    <row r="1362" spans="1:2" x14ac:dyDescent="0.3">
      <c r="A1362" s="35" t="s">
        <v>1309</v>
      </c>
      <c r="B1362" s="35">
        <v>249</v>
      </c>
    </row>
    <row r="1363" spans="1:2" x14ac:dyDescent="0.3">
      <c r="A1363" s="35" t="s">
        <v>1310</v>
      </c>
      <c r="B1363" s="35">
        <v>329</v>
      </c>
    </row>
    <row r="1364" spans="1:2" x14ac:dyDescent="0.3">
      <c r="A1364" s="35" t="s">
        <v>1311</v>
      </c>
      <c r="B1364" s="35">
        <v>249</v>
      </c>
    </row>
    <row r="1365" spans="1:2" x14ac:dyDescent="0.3">
      <c r="A1365" s="35" t="s">
        <v>1312</v>
      </c>
      <c r="B1365" s="35">
        <v>209</v>
      </c>
    </row>
    <row r="1366" spans="1:2" x14ac:dyDescent="0.3">
      <c r="A1366" s="35" t="s">
        <v>1313</v>
      </c>
      <c r="B1366" s="35">
        <v>399</v>
      </c>
    </row>
    <row r="1367" spans="1:2" x14ac:dyDescent="0.3">
      <c r="A1367" s="35" t="s">
        <v>1314</v>
      </c>
      <c r="B1367" s="35">
        <v>299</v>
      </c>
    </row>
    <row r="1368" spans="1:2" x14ac:dyDescent="0.3">
      <c r="A1368" s="35" t="s">
        <v>1315</v>
      </c>
      <c r="B1368" s="35">
        <v>299</v>
      </c>
    </row>
    <row r="1369" spans="1:2" x14ac:dyDescent="0.3">
      <c r="A1369" s="35" t="s">
        <v>1316</v>
      </c>
      <c r="B1369" s="35">
        <v>399</v>
      </c>
    </row>
    <row r="1370" spans="1:2" x14ac:dyDescent="0.3">
      <c r="A1370" s="35" t="s">
        <v>1317</v>
      </c>
      <c r="B1370" s="35">
        <v>329</v>
      </c>
    </row>
    <row r="1371" spans="1:2" x14ac:dyDescent="0.3">
      <c r="A1371" s="35" t="s">
        <v>1318</v>
      </c>
      <c r="B1371" s="35">
        <v>99</v>
      </c>
    </row>
    <row r="1372" spans="1:2" x14ac:dyDescent="0.3">
      <c r="A1372" s="35" t="s">
        <v>1319</v>
      </c>
      <c r="B1372" s="35">
        <v>299</v>
      </c>
    </row>
    <row r="1373" spans="1:2" x14ac:dyDescent="0.3">
      <c r="A1373" s="35" t="s">
        <v>1320</v>
      </c>
      <c r="B1373" s="35">
        <v>249</v>
      </c>
    </row>
    <row r="1374" spans="1:2" x14ac:dyDescent="0.3">
      <c r="A1374" s="35" t="s">
        <v>1321</v>
      </c>
      <c r="B1374" s="35">
        <v>149</v>
      </c>
    </row>
    <row r="1375" spans="1:2" x14ac:dyDescent="0.3">
      <c r="A1375" s="35" t="s">
        <v>1322</v>
      </c>
      <c r="B1375" s="35">
        <v>99</v>
      </c>
    </row>
    <row r="1376" spans="1:2" x14ac:dyDescent="0.3">
      <c r="A1376" s="35" t="s">
        <v>1323</v>
      </c>
      <c r="B1376" s="35">
        <v>399</v>
      </c>
    </row>
    <row r="1377" spans="1:2" x14ac:dyDescent="0.3">
      <c r="A1377" s="35" t="s">
        <v>1324</v>
      </c>
      <c r="B1377" s="35">
        <v>429</v>
      </c>
    </row>
    <row r="1378" spans="1:2" x14ac:dyDescent="0.3">
      <c r="A1378" s="35" t="s">
        <v>1325</v>
      </c>
      <c r="B1378" s="35">
        <v>499</v>
      </c>
    </row>
    <row r="1379" spans="1:2" x14ac:dyDescent="0.3">
      <c r="A1379" s="35" t="s">
        <v>1326</v>
      </c>
      <c r="B1379" s="35">
        <v>599</v>
      </c>
    </row>
    <row r="1380" spans="1:2" x14ac:dyDescent="0.3">
      <c r="A1380" s="35" t="s">
        <v>1327</v>
      </c>
      <c r="B1380" s="35">
        <v>99</v>
      </c>
    </row>
    <row r="1381" spans="1:2" x14ac:dyDescent="0.3">
      <c r="A1381" s="35" t="s">
        <v>1328</v>
      </c>
      <c r="B1381" s="35">
        <v>199</v>
      </c>
    </row>
    <row r="1382" spans="1:2" x14ac:dyDescent="0.3">
      <c r="A1382" s="35" t="s">
        <v>1329</v>
      </c>
      <c r="B1382" s="35">
        <v>249</v>
      </c>
    </row>
    <row r="1383" spans="1:2" x14ac:dyDescent="0.3">
      <c r="A1383" s="35" t="s">
        <v>1330</v>
      </c>
      <c r="B1383" s="35">
        <v>399</v>
      </c>
    </row>
    <row r="1384" spans="1:2" x14ac:dyDescent="0.3">
      <c r="A1384" s="35" t="s">
        <v>1331</v>
      </c>
      <c r="B1384" s="35">
        <v>499</v>
      </c>
    </row>
    <row r="1385" spans="1:2" x14ac:dyDescent="0.3">
      <c r="A1385" s="35" t="s">
        <v>1332</v>
      </c>
      <c r="B1385" s="35">
        <v>449</v>
      </c>
    </row>
    <row r="1386" spans="1:2" x14ac:dyDescent="0.3">
      <c r="A1386" s="35" t="s">
        <v>1333</v>
      </c>
      <c r="B1386" s="35">
        <v>249</v>
      </c>
    </row>
    <row r="1387" spans="1:2" x14ac:dyDescent="0.3">
      <c r="A1387" s="35" t="s">
        <v>1334</v>
      </c>
      <c r="B1387" s="35">
        <v>199</v>
      </c>
    </row>
    <row r="1388" spans="1:2" x14ac:dyDescent="0.3">
      <c r="A1388" s="35" t="s">
        <v>1335</v>
      </c>
      <c r="B1388" s="35">
        <v>399</v>
      </c>
    </row>
    <row r="1389" spans="1:2" x14ac:dyDescent="0.3">
      <c r="A1389" s="35" t="s">
        <v>1336</v>
      </c>
      <c r="B1389" s="35">
        <v>599</v>
      </c>
    </row>
    <row r="1390" spans="1:2" x14ac:dyDescent="0.3">
      <c r="A1390" s="35" t="s">
        <v>1337</v>
      </c>
      <c r="B1390" s="35">
        <v>529</v>
      </c>
    </row>
    <row r="1391" spans="1:2" x14ac:dyDescent="0.3">
      <c r="A1391" s="35" t="s">
        <v>1338</v>
      </c>
      <c r="B1391" s="35">
        <v>299</v>
      </c>
    </row>
    <row r="1392" spans="1:2" x14ac:dyDescent="0.3">
      <c r="A1392" s="35" t="s">
        <v>1339</v>
      </c>
      <c r="B1392" s="35">
        <v>429</v>
      </c>
    </row>
    <row r="1393" spans="1:2" x14ac:dyDescent="0.3">
      <c r="A1393" s="35" t="s">
        <v>1340</v>
      </c>
      <c r="B1393" s="35">
        <v>449</v>
      </c>
    </row>
    <row r="1394" spans="1:2" x14ac:dyDescent="0.3">
      <c r="A1394" s="35" t="s">
        <v>1341</v>
      </c>
      <c r="B1394" s="35">
        <v>299</v>
      </c>
    </row>
    <row r="1395" spans="1:2" x14ac:dyDescent="0.3">
      <c r="A1395" s="35" t="s">
        <v>1342</v>
      </c>
      <c r="B1395" s="35">
        <v>429</v>
      </c>
    </row>
    <row r="1396" spans="1:2" x14ac:dyDescent="0.3">
      <c r="A1396" s="35" t="s">
        <v>1343</v>
      </c>
      <c r="B1396" s="35">
        <v>529</v>
      </c>
    </row>
    <row r="1397" spans="1:2" x14ac:dyDescent="0.3">
      <c r="A1397" s="35" t="s">
        <v>1344</v>
      </c>
      <c r="B1397" s="35">
        <v>599</v>
      </c>
    </row>
    <row r="1398" spans="1:2" x14ac:dyDescent="0.3">
      <c r="A1398" s="35" t="s">
        <v>1345</v>
      </c>
      <c r="B1398" s="35">
        <v>199</v>
      </c>
    </row>
    <row r="1399" spans="1:2" x14ac:dyDescent="0.3">
      <c r="A1399" s="35" t="s">
        <v>1346</v>
      </c>
      <c r="B1399" s="35">
        <v>199</v>
      </c>
    </row>
    <row r="1400" spans="1:2" x14ac:dyDescent="0.3">
      <c r="A1400" s="35" t="s">
        <v>1347</v>
      </c>
      <c r="B1400" s="35">
        <v>499</v>
      </c>
    </row>
    <row r="1401" spans="1:2" x14ac:dyDescent="0.3">
      <c r="A1401" s="35" t="s">
        <v>1348</v>
      </c>
      <c r="B1401" s="35">
        <v>299</v>
      </c>
    </row>
    <row r="1402" spans="1:2" x14ac:dyDescent="0.3">
      <c r="A1402" s="35" t="s">
        <v>1349</v>
      </c>
      <c r="B1402" s="35">
        <v>399</v>
      </c>
    </row>
    <row r="1403" spans="1:2" x14ac:dyDescent="0.3">
      <c r="A1403" s="35" t="s">
        <v>1350</v>
      </c>
      <c r="B1403" s="35">
        <v>299</v>
      </c>
    </row>
    <row r="1404" spans="1:2" x14ac:dyDescent="0.3">
      <c r="A1404" s="35" t="s">
        <v>1351</v>
      </c>
      <c r="B1404" s="35">
        <v>299</v>
      </c>
    </row>
    <row r="1405" spans="1:2" x14ac:dyDescent="0.3">
      <c r="A1405" s="35" t="s">
        <v>1352</v>
      </c>
      <c r="B1405" s="35">
        <v>199</v>
      </c>
    </row>
    <row r="1406" spans="1:2" x14ac:dyDescent="0.3">
      <c r="A1406" s="35" t="s">
        <v>1353</v>
      </c>
      <c r="B1406" s="35">
        <v>249</v>
      </c>
    </row>
    <row r="1407" spans="1:2" x14ac:dyDescent="0.3">
      <c r="A1407" s="35" t="s">
        <v>1354</v>
      </c>
      <c r="B1407" s="35">
        <v>549</v>
      </c>
    </row>
    <row r="1408" spans="1:2" x14ac:dyDescent="0.3">
      <c r="A1408" s="35" t="s">
        <v>1355</v>
      </c>
      <c r="B1408" s="35">
        <v>329</v>
      </c>
    </row>
    <row r="1409" spans="1:2" x14ac:dyDescent="0.3">
      <c r="A1409" s="35" t="s">
        <v>1356</v>
      </c>
      <c r="B1409" s="35">
        <v>249</v>
      </c>
    </row>
    <row r="1410" spans="1:2" x14ac:dyDescent="0.3">
      <c r="A1410" s="35" t="s">
        <v>1357</v>
      </c>
      <c r="B1410" s="35">
        <v>349</v>
      </c>
    </row>
    <row r="1411" spans="1:2" x14ac:dyDescent="0.3">
      <c r="A1411" s="35" t="s">
        <v>1358</v>
      </c>
      <c r="B1411" s="35">
        <v>249</v>
      </c>
    </row>
    <row r="1412" spans="1:2" x14ac:dyDescent="0.3">
      <c r="A1412" s="35" t="s">
        <v>1359</v>
      </c>
      <c r="B1412" s="35">
        <v>299</v>
      </c>
    </row>
    <row r="1413" spans="1:2" x14ac:dyDescent="0.3">
      <c r="A1413" s="35" t="s">
        <v>1360</v>
      </c>
      <c r="B1413" s="35">
        <v>299</v>
      </c>
    </row>
    <row r="1414" spans="1:2" x14ac:dyDescent="0.3">
      <c r="A1414" s="35" t="s">
        <v>1361</v>
      </c>
      <c r="B1414" s="35">
        <v>249</v>
      </c>
    </row>
    <row r="1415" spans="1:2" x14ac:dyDescent="0.3">
      <c r="A1415" s="35" t="s">
        <v>1362</v>
      </c>
      <c r="B1415" s="35">
        <v>799</v>
      </c>
    </row>
    <row r="1416" spans="1:2" x14ac:dyDescent="0.3">
      <c r="A1416" s="35" t="s">
        <v>1363</v>
      </c>
      <c r="B1416" s="35">
        <v>249</v>
      </c>
    </row>
    <row r="1417" spans="1:2" x14ac:dyDescent="0.3">
      <c r="A1417" s="35" t="s">
        <v>1364</v>
      </c>
      <c r="B1417" s="35">
        <v>499</v>
      </c>
    </row>
    <row r="1418" spans="1:2" x14ac:dyDescent="0.3">
      <c r="A1418" s="35" t="s">
        <v>1365</v>
      </c>
      <c r="B1418" s="35">
        <v>599</v>
      </c>
    </row>
    <row r="1419" spans="1:2" x14ac:dyDescent="0.3">
      <c r="A1419" s="35" t="s">
        <v>1366</v>
      </c>
      <c r="B1419" s="35">
        <v>499</v>
      </c>
    </row>
    <row r="1420" spans="1:2" x14ac:dyDescent="0.3">
      <c r="A1420" s="35" t="s">
        <v>1367</v>
      </c>
      <c r="B1420" s="35">
        <v>499</v>
      </c>
    </row>
    <row r="1421" spans="1:2" x14ac:dyDescent="0.3">
      <c r="A1421" s="35" t="s">
        <v>1368</v>
      </c>
      <c r="B1421" s="35">
        <v>349</v>
      </c>
    </row>
    <row r="1422" spans="1:2" x14ac:dyDescent="0.3">
      <c r="A1422" s="35" t="s">
        <v>1369</v>
      </c>
      <c r="B1422" s="35">
        <v>499</v>
      </c>
    </row>
    <row r="1423" spans="1:2" x14ac:dyDescent="0.3">
      <c r="A1423" s="35" t="s">
        <v>1370</v>
      </c>
      <c r="B1423" s="35">
        <v>299</v>
      </c>
    </row>
    <row r="1424" spans="1:2" x14ac:dyDescent="0.3">
      <c r="A1424" s="35" t="s">
        <v>1371</v>
      </c>
      <c r="B1424" s="35">
        <v>99</v>
      </c>
    </row>
    <row r="1425" spans="1:2" x14ac:dyDescent="0.3">
      <c r="A1425" s="35" t="s">
        <v>1372</v>
      </c>
      <c r="B1425" s="35">
        <v>99</v>
      </c>
    </row>
    <row r="1426" spans="1:2" x14ac:dyDescent="0.3">
      <c r="A1426" s="35" t="s">
        <v>1373</v>
      </c>
      <c r="B1426" s="35">
        <v>149</v>
      </c>
    </row>
    <row r="1427" spans="1:2" x14ac:dyDescent="0.3">
      <c r="A1427" s="35" t="s">
        <v>1374</v>
      </c>
      <c r="B1427" s="35">
        <v>199</v>
      </c>
    </row>
  </sheetData>
  <phoneticPr fontId="6" type="noConversion"/>
  <pageMargins left="0.7" right="0.7" top="0.75" bottom="0.75" header="0.3" footer="0.3"/>
  <pageSetup paperSize="121" orientation="portrait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488760-5CD0-426C-8640-B00B68E351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BF80C9-575C-4C36-BF09-D4BF950F0A95}">
  <ds:schemaRefs>
    <ds:schemaRef ds:uri="16c05727-aa75-4e4a-9b5f-8a80a1165891"/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71af3243-3dd4-4a8d-8c0d-dd76da1f02a5"/>
  </ds:schemaRefs>
</ds:datastoreItem>
</file>

<file path=customXml/itemProps3.xml><?xml version="1.0" encoding="utf-8"?>
<ds:datastoreItem xmlns:ds="http://schemas.openxmlformats.org/officeDocument/2006/customXml" ds:itemID="{F8010A75-7F37-4566-8147-7444E06451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TM16400626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InvoiceTracker</vt:lpstr>
      <vt:lpstr>ItemInvoiceTracker</vt:lpstr>
      <vt:lpstr>Data</vt:lpstr>
      <vt:lpstr>Carry</vt:lpstr>
      <vt:lpstr>CancelledBill-Invoice</vt:lpstr>
      <vt:lpstr>CancelledBill-Item</vt:lpstr>
      <vt:lpstr>Next</vt:lpstr>
      <vt:lpstr>Lookup</vt:lpstr>
      <vt:lpstr>InvoiceTracker!Print_Titles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2019-07-07T23:20:36Z</dcterms:created>
  <dcterms:modified xsi:type="dcterms:W3CDTF">2022-06-20T07:46:09Z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
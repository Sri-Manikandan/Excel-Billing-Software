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y Collections\Projects\Excel Files\99 store\"/>
    </mc:Choice>
  </mc:AlternateContent>
  <xr:revisionPtr revIDLastSave="0" documentId="13_ncr:1_{F9EF9B06-F5D9-435C-904A-E6C6758E59D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voicePage" sheetId="1" r:id="rId1"/>
    <sheet name="CancelBill" sheetId="3" r:id="rId2"/>
    <sheet name="Lookup" sheetId="2" r:id="rId3"/>
  </sheets>
  <externalReferences>
    <externalReference r:id="rId4"/>
  </externalReferences>
  <definedNames>
    <definedName name="_xlnm._FilterDatabase" localSheetId="2" hidden="1">Lookup!$C$1:$C$1517</definedName>
    <definedName name="Company_Name">InvoicePage!$A$1</definedName>
    <definedName name="Discount">InvoicePage!$F$18</definedName>
    <definedName name="Final">InvoicePage!$F$19</definedName>
    <definedName name="Payment">Lookup!$A$2:$A$6</definedName>
    <definedName name="_xlnm.Print_Area" localSheetId="0">InvoicePage!$A$1:$F$19</definedName>
    <definedName name="Quantity">InvoicePage!$C$17</definedName>
    <definedName name="Total">InvoicePage!$F$17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6" i="1" l="1"/>
  <c r="D16" i="1"/>
  <c r="E16" i="1" s="1"/>
  <c r="AO1" i="1"/>
  <c r="AN1" i="1"/>
  <c r="F16" i="1" l="1"/>
  <c r="C17" i="1" l="1"/>
  <c r="N12" i="1" s="1"/>
  <c r="A13" i="1"/>
  <c r="D13" i="1"/>
  <c r="E13" i="1" s="1"/>
  <c r="A14" i="1"/>
  <c r="D14" i="1"/>
  <c r="E14" i="1" s="1"/>
  <c r="A15" i="1"/>
  <c r="D15" i="1"/>
  <c r="E15" i="1" s="1"/>
  <c r="A9" i="1"/>
  <c r="D9" i="1"/>
  <c r="E9" i="1" s="1"/>
  <c r="F9" i="1" s="1"/>
  <c r="A10" i="1"/>
  <c r="D10" i="1"/>
  <c r="E10" i="1" s="1"/>
  <c r="A11" i="1"/>
  <c r="D11" i="1"/>
  <c r="E11" i="1" s="1"/>
  <c r="A12" i="1"/>
  <c r="D12" i="1"/>
  <c r="E12" i="1" s="1"/>
  <c r="F18" i="1"/>
  <c r="F15" i="1" l="1"/>
  <c r="F13" i="1"/>
  <c r="F14" i="1"/>
  <c r="F10" i="1"/>
  <c r="F11" i="1"/>
  <c r="F12" i="1"/>
  <c r="F17" i="1" l="1"/>
  <c r="D622" i="2" l="1"/>
  <c r="D1195" i="2" l="1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540" i="2" l="1"/>
  <c r="D513" i="2" l="1"/>
  <c r="D1174" i="2" l="1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460" i="2" l="1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56" i="2" l="1"/>
  <c r="D457" i="2"/>
  <c r="D458" i="2"/>
  <c r="D459" i="2"/>
  <c r="E4" i="1" l="1"/>
  <c r="D1014" i="2" l="1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F3" i="1" l="1"/>
  <c r="D437" i="2" l="1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627" i="2" l="1"/>
  <c r="D847" i="2" l="1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265" i="2" l="1"/>
  <c r="D1039" i="2" l="1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227" i="2" l="1"/>
  <c r="D193" i="2" l="1"/>
  <c r="D432" i="2"/>
  <c r="D433" i="2"/>
  <c r="D434" i="2"/>
  <c r="D435" i="2"/>
  <c r="D436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3" i="2"/>
  <c r="D624" i="2"/>
  <c r="D625" i="2"/>
  <c r="D626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1" i="2"/>
  <c r="D39" i="2"/>
  <c r="D40" i="2"/>
  <c r="D41" i="2"/>
  <c r="D42" i="2"/>
  <c r="D43" i="2"/>
  <c r="D44" i="2"/>
  <c r="D45" i="2"/>
  <c r="D46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13" i="2" l="1"/>
  <c r="D12" i="2"/>
  <c r="D48" i="2"/>
  <c r="D47" i="2"/>
  <c r="D49" i="2" l="1"/>
  <c r="D50" i="2" l="1"/>
  <c r="D14" i="2"/>
  <c r="D51" i="2" l="1"/>
  <c r="D15" i="2"/>
  <c r="D52" i="2" l="1"/>
  <c r="D16" i="2"/>
  <c r="D53" i="2"/>
  <c r="D17" i="2" l="1"/>
  <c r="D54" i="2"/>
  <c r="D18" i="2" l="1"/>
  <c r="D55" i="2"/>
  <c r="D19" i="2" l="1"/>
  <c r="D56" i="2"/>
  <c r="D20" i="2" l="1"/>
  <c r="D57" i="2"/>
  <c r="D21" i="2" l="1"/>
  <c r="D58" i="2"/>
  <c r="D22" i="2" l="1"/>
  <c r="D59" i="2"/>
  <c r="D23" i="2" l="1"/>
  <c r="D60" i="2"/>
  <c r="D24" i="2" l="1"/>
  <c r="D61" i="2"/>
  <c r="D25" i="2" l="1"/>
  <c r="D62" i="2"/>
  <c r="D26" i="2" l="1"/>
  <c r="D63" i="2"/>
  <c r="D27" i="2" l="1"/>
  <c r="D64" i="2"/>
  <c r="D28" i="2" l="1"/>
  <c r="D65" i="2"/>
  <c r="D29" i="2" l="1"/>
  <c r="D66" i="2"/>
  <c r="D30" i="2" l="1"/>
  <c r="D67" i="2"/>
  <c r="D31" i="2" l="1"/>
  <c r="D68" i="2"/>
  <c r="D32" i="2" l="1"/>
  <c r="D69" i="2"/>
  <c r="D33" i="2" l="1"/>
  <c r="D70" i="2"/>
  <c r="D34" i="2" l="1"/>
  <c r="D71" i="2"/>
  <c r="D35" i="2" l="1"/>
  <c r="D72" i="2"/>
  <c r="D36" i="2" l="1"/>
  <c r="D73" i="2"/>
  <c r="D37" i="2" l="1"/>
  <c r="D38" i="2"/>
  <c r="D74" i="2"/>
  <c r="D75" i="2" l="1"/>
  <c r="F19" i="1"/>
  <c r="N8" i="1" s="1"/>
  <c r="E3" i="1"/>
</calcChain>
</file>

<file path=xl/sharedStrings.xml><?xml version="1.0" encoding="utf-8"?>
<sst xmlns="http://schemas.openxmlformats.org/spreadsheetml/2006/main" count="1396" uniqueCount="1395">
  <si>
    <t>INVOICE</t>
  </si>
  <si>
    <t>1/A, Opp. to Zoo,</t>
  </si>
  <si>
    <t>S.NO.</t>
  </si>
  <si>
    <t>DATE</t>
  </si>
  <si>
    <t>Card</t>
  </si>
  <si>
    <t>CNO</t>
  </si>
  <si>
    <t>TAX</t>
  </si>
  <si>
    <t>TOTAL</t>
  </si>
  <si>
    <t>Cancel Bill</t>
  </si>
  <si>
    <t>Bill No</t>
  </si>
  <si>
    <t>Mode Of Payment</t>
  </si>
  <si>
    <t>Code</t>
  </si>
  <si>
    <t>Products</t>
  </si>
  <si>
    <t>Selling Price</t>
  </si>
  <si>
    <t>Cash</t>
  </si>
  <si>
    <t>Phonepe</t>
  </si>
  <si>
    <t>Gpay</t>
  </si>
  <si>
    <t>Online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</si>
  <si>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</si>
  <si>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</si>
  <si>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</si>
  <si>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</si>
  <si>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</si>
  <si>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</si>
  <si>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</si>
  <si>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</si>
  <si>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</si>
  <si>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</si>
  <si>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</si>
  <si>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</si>
  <si>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</si>
  <si>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</si>
  <si>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</si>
  <si>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</si>
  <si>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</si>
  <si>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D30</t>
  </si>
  <si>
    <t>D29</t>
  </si>
  <si>
    <t>D19</t>
  </si>
  <si>
    <t>D20</t>
  </si>
  <si>
    <t>D28</t>
  </si>
  <si>
    <t>D22</t>
  </si>
  <si>
    <t>D21</t>
  </si>
  <si>
    <t>D24</t>
  </si>
  <si>
    <t>D25</t>
  </si>
  <si>
    <t>D18</t>
  </si>
  <si>
    <t>D26</t>
  </si>
  <si>
    <t>D27</t>
  </si>
  <si>
    <t>D23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</si>
  <si>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</si>
  <si>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</si>
  <si>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</si>
  <si>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</si>
  <si>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</si>
  <si>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</si>
  <si>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</si>
  <si>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</si>
  <si>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</si>
  <si>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</si>
  <si>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</si>
  <si>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</si>
  <si>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</si>
  <si>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</si>
  <si>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</si>
  <si>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</si>
  <si>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</si>
  <si>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</si>
  <si>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</si>
  <si>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</si>
  <si>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</si>
  <si>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</si>
  <si>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</si>
  <si>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</si>
  <si>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</si>
  <si>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</si>
  <si>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</si>
  <si>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</si>
  <si>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</si>
  <si>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</si>
  <si>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</si>
  <si>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</si>
  <si>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</si>
  <si>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</si>
  <si>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</si>
  <si>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</si>
  <si>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</si>
  <si>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</si>
  <si>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</si>
  <si>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</si>
  <si>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</si>
  <si>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</si>
  <si>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</si>
  <si>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</si>
  <si>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</si>
  <si>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</si>
  <si>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</si>
  <si>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</si>
  <si>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</si>
  <si>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</si>
  <si>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</si>
  <si>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</si>
  <si>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</si>
  <si>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</si>
  <si>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</si>
  <si>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</si>
  <si>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</si>
  <si>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</si>
  <si>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</si>
  <si>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</si>
  <si>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</si>
  <si>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</si>
  <si>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</si>
  <si>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</si>
  <si>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</si>
  <si>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</si>
  <si>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</si>
  <si>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</si>
  <si>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</si>
  <si>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</si>
  <si>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</si>
  <si>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</si>
  <si>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</si>
  <si>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</si>
  <si>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</si>
  <si>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</si>
  <si>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</si>
  <si>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</si>
  <si>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</si>
  <si>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</si>
  <si>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</si>
  <si>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</si>
  <si>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</si>
  <si>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</si>
  <si>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</si>
  <si>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</si>
  <si>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</si>
  <si>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</si>
  <si>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</si>
  <si>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</si>
  <si>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</si>
  <si>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</si>
  <si>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D32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</si>
  <si>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</si>
  <si>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</si>
  <si>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</si>
  <si>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</si>
  <si>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</si>
  <si>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</si>
  <si>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</si>
  <si>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</si>
  <si>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</si>
  <si>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</si>
  <si>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</si>
  <si>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D31</t>
  </si>
  <si>
    <t>D33</t>
  </si>
  <si>
    <t>D34</t>
  </si>
  <si>
    <t>A93</t>
  </si>
  <si>
    <t>A94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</si>
  <si>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</si>
  <si>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</si>
  <si>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</si>
  <si>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</si>
  <si>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</si>
  <si>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</si>
  <si>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</si>
  <si>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</si>
  <si>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</si>
  <si>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</si>
  <si>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</si>
  <si>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</si>
  <si>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</si>
  <si>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</si>
  <si>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</si>
  <si>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D79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</si>
  <si>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</si>
  <si>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</si>
  <si>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</si>
  <si>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</si>
  <si>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</si>
  <si>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</si>
  <si>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</si>
  <si>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</si>
  <si>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</si>
  <si>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</si>
  <si>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</si>
  <si>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</si>
  <si>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</si>
  <si>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</si>
  <si>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</si>
  <si>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</si>
  <si>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</si>
  <si>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</si>
  <si>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D80</t>
  </si>
  <si>
    <t>D81</t>
  </si>
  <si>
    <t>D82</t>
  </si>
  <si>
    <t>D83</t>
  </si>
  <si>
    <t>D84</t>
  </si>
  <si>
    <t>D85</t>
  </si>
  <si>
    <t>D86</t>
  </si>
  <si>
    <t>D87</t>
  </si>
  <si>
    <t>D88</t>
  </si>
  <si>
    <t>D89</t>
  </si>
  <si>
    <t>D90</t>
  </si>
  <si>
    <t>D91</t>
  </si>
  <si>
    <t>D92</t>
  </si>
  <si>
    <t>D93</t>
  </si>
  <si>
    <t>D94</t>
  </si>
  <si>
    <t>D95</t>
  </si>
  <si>
    <t>D96</t>
  </si>
  <si>
    <t>D97</t>
  </si>
  <si>
    <t>D98</t>
  </si>
  <si>
    <t>D99</t>
  </si>
  <si>
    <t>D100</t>
  </si>
  <si>
    <t>D101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</si>
  <si>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</si>
  <si>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</si>
  <si>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</si>
  <si>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</si>
  <si>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</si>
  <si>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</si>
  <si>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</si>
  <si>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</si>
  <si>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</si>
  <si>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D111</t>
  </si>
  <si>
    <t>D112</t>
  </si>
  <si>
    <t>D113</t>
  </si>
  <si>
    <t>D114</t>
  </si>
  <si>
    <t>D115</t>
  </si>
  <si>
    <t>D116</t>
  </si>
  <si>
    <t>D117</t>
  </si>
  <si>
    <t>D118</t>
  </si>
  <si>
    <t>D119</t>
  </si>
  <si>
    <t>D120</t>
  </si>
  <si>
    <t>D121</t>
  </si>
  <si>
    <t>D122</t>
  </si>
  <si>
    <t>D123</t>
  </si>
  <si>
    <t>D124</t>
  </si>
  <si>
    <t>D125</t>
  </si>
  <si>
    <t>D126</t>
  </si>
  <si>
    <t>D127</t>
  </si>
  <si>
    <t>D128</t>
  </si>
  <si>
    <t>D129</t>
  </si>
  <si>
    <t>D130</t>
  </si>
  <si>
    <t>D131</t>
  </si>
  <si>
    <t>D132</t>
  </si>
  <si>
    <t>D133</t>
  </si>
  <si>
    <t>D134</t>
  </si>
  <si>
    <t>D135</t>
  </si>
  <si>
    <t>D136</t>
  </si>
  <si>
    <t>D137</t>
  </si>
  <si>
    <t>D138</t>
  </si>
  <si>
    <t>D139</t>
  </si>
  <si>
    <t>D140</t>
  </si>
  <si>
    <t>D141</t>
  </si>
  <si>
    <t>D142</t>
  </si>
  <si>
    <t>D143</t>
  </si>
  <si>
    <t>D144</t>
  </si>
  <si>
    <t>D145</t>
  </si>
  <si>
    <t>D146</t>
  </si>
  <si>
    <t>D147</t>
  </si>
  <si>
    <t>D148</t>
  </si>
  <si>
    <t>D149</t>
  </si>
  <si>
    <t>D151</t>
  </si>
  <si>
    <t>D152</t>
  </si>
  <si>
    <t>D153</t>
  </si>
  <si>
    <t>D154</t>
  </si>
  <si>
    <t>D155</t>
  </si>
  <si>
    <t>D156</t>
  </si>
  <si>
    <t>D157</t>
  </si>
  <si>
    <t>D158</t>
  </si>
  <si>
    <t>D159</t>
  </si>
  <si>
    <t>D160</t>
  </si>
  <si>
    <t>D161</t>
  </si>
  <si>
    <t>D162</t>
  </si>
  <si>
    <t>D163</t>
  </si>
  <si>
    <t>D164</t>
  </si>
  <si>
    <t>D165</t>
  </si>
  <si>
    <t>D166</t>
  </si>
  <si>
    <t>D167</t>
  </si>
  <si>
    <t>D168</t>
  </si>
  <si>
    <t>D169</t>
  </si>
  <si>
    <t>D170</t>
  </si>
  <si>
    <t>D171</t>
  </si>
  <si>
    <t>D172</t>
  </si>
  <si>
    <t>D173</t>
  </si>
  <si>
    <t>D174</t>
  </si>
  <si>
    <t>D175</t>
  </si>
  <si>
    <t>D176</t>
  </si>
  <si>
    <t>D177</t>
  </si>
  <si>
    <t>D178</t>
  </si>
  <si>
    <t>D179</t>
  </si>
  <si>
    <t>D180</t>
  </si>
  <si>
    <t>D181</t>
  </si>
  <si>
    <t>D182</t>
  </si>
  <si>
    <t>D183</t>
  </si>
  <si>
    <t>D184</t>
  </si>
  <si>
    <t>D185</t>
  </si>
  <si>
    <t>D186</t>
  </si>
  <si>
    <t>D187</t>
  </si>
  <si>
    <t>D188</t>
  </si>
  <si>
    <t>D189</t>
  </si>
  <si>
    <t>D190</t>
  </si>
  <si>
    <t>D191</t>
  </si>
  <si>
    <t>D192</t>
  </si>
  <si>
    <t>D193</t>
  </si>
  <si>
    <t>D194</t>
  </si>
  <si>
    <t>D195</t>
  </si>
  <si>
    <t>D196</t>
  </si>
  <si>
    <t>D197</t>
  </si>
  <si>
    <t>D198</t>
  </si>
  <si>
    <t>D199</t>
  </si>
  <si>
    <t>D200</t>
  </si>
  <si>
    <t>D201</t>
  </si>
  <si>
    <t>D202</t>
  </si>
  <si>
    <t>D203</t>
  </si>
  <si>
    <t>D204</t>
  </si>
  <si>
    <t>D205</t>
  </si>
  <si>
    <t>D206</t>
  </si>
  <si>
    <t>D207</t>
  </si>
  <si>
    <t>D208</t>
  </si>
  <si>
    <t>D209</t>
  </si>
  <si>
    <t>D210</t>
  </si>
  <si>
    <t>D211</t>
  </si>
  <si>
    <t>D212</t>
  </si>
  <si>
    <t>D213</t>
  </si>
  <si>
    <t>D214</t>
  </si>
  <si>
    <t>D215</t>
  </si>
  <si>
    <t>D216</t>
  </si>
  <si>
    <t>D217</t>
  </si>
  <si>
    <t>D218</t>
  </si>
  <si>
    <t>D219</t>
  </si>
  <si>
    <t>D220</t>
  </si>
  <si>
    <t>D221</t>
  </si>
  <si>
    <t>D222</t>
  </si>
  <si>
    <t>D223</t>
  </si>
  <si>
    <t>D224</t>
  </si>
  <si>
    <t>D225</t>
  </si>
  <si>
    <t>D226</t>
  </si>
  <si>
    <t>D227</t>
  </si>
  <si>
    <t>D228</t>
  </si>
  <si>
    <t>D229</t>
  </si>
  <si>
    <t>D230</t>
  </si>
  <si>
    <t>D231</t>
  </si>
  <si>
    <t>D232</t>
  </si>
  <si>
    <t>D233</t>
  </si>
  <si>
    <t>D234</t>
  </si>
  <si>
    <t>D235</t>
  </si>
  <si>
    <t>D236</t>
  </si>
  <si>
    <t>D237</t>
  </si>
  <si>
    <t>D238</t>
  </si>
  <si>
    <t>D239</t>
  </si>
  <si>
    <t>D240</t>
  </si>
  <si>
    <t>D241</t>
  </si>
  <si>
    <t>D242</t>
  </si>
  <si>
    <t>D243</t>
  </si>
  <si>
    <t>D244</t>
  </si>
  <si>
    <t>D245</t>
  </si>
  <si>
    <t>D246</t>
  </si>
  <si>
    <t>D247</t>
  </si>
  <si>
    <t>D248</t>
  </si>
  <si>
    <t>D249</t>
  </si>
  <si>
    <t>D250</t>
  </si>
  <si>
    <t>D251</t>
  </si>
  <si>
    <t>D252</t>
  </si>
  <si>
    <t>D253</t>
  </si>
  <si>
    <t>A95</t>
  </si>
  <si>
    <t>A96</t>
  </si>
  <si>
    <t>A97</t>
  </si>
  <si>
    <t>A98</t>
  </si>
  <si>
    <t>A99</t>
  </si>
  <si>
    <t>A100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</si>
  <si>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</si>
  <si>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</si>
  <si>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</si>
  <si>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</si>
  <si>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</si>
  <si>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</si>
  <si>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</si>
  <si>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</si>
  <si>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</si>
  <si>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</si>
  <si>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</si>
  <si>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</si>
  <si>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</si>
  <si>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</si>
  <si>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</si>
  <si>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</si>
  <si>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</si>
  <si>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</si>
  <si>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</si>
  <si>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</si>
  <si>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</si>
  <si>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</si>
  <si>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</si>
  <si>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</si>
  <si>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</si>
  <si>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</si>
  <si>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</si>
  <si>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</si>
  <si>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</si>
  <si>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</si>
  <si>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</si>
  <si>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</si>
  <si>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</si>
  <si>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</si>
  <si>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</si>
  <si>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</si>
  <si>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</si>
  <si>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</si>
  <si>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</si>
  <si>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</si>
  <si>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</si>
  <si>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</si>
  <si>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</si>
  <si>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</si>
  <si>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</si>
  <si>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</si>
  <si>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</si>
  <si>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</si>
  <si>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</si>
  <si>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</si>
  <si>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</si>
  <si>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</si>
  <si>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</si>
  <si>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</si>
  <si>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</si>
  <si>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</si>
  <si>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</si>
  <si>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</si>
  <si>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</si>
  <si>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</si>
  <si>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</si>
  <si>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</si>
  <si>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</si>
  <si>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</si>
  <si>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</si>
  <si>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</si>
  <si>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</si>
  <si>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</si>
  <si>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</si>
  <si>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</si>
  <si>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</si>
  <si>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</si>
  <si>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</si>
  <si>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</si>
  <si>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</si>
  <si>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</si>
  <si>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</si>
  <si>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</si>
  <si>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</si>
  <si>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</si>
  <si>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</si>
  <si>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</si>
  <si>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</si>
  <si>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</si>
  <si>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</si>
  <si>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</si>
  <si>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</si>
  <si>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</si>
  <si>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</si>
  <si>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</si>
  <si>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</si>
  <si>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</si>
  <si>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</si>
  <si>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</si>
  <si>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</si>
  <si>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</si>
  <si>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</si>
  <si>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</si>
  <si>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</si>
  <si>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</si>
  <si>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</si>
  <si>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</si>
  <si>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</si>
  <si>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</si>
  <si>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</si>
  <si>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</si>
  <si>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</si>
  <si>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</si>
  <si>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</si>
  <si>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</si>
  <si>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</si>
  <si>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</si>
  <si>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</si>
  <si>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</si>
  <si>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</si>
  <si>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</si>
  <si>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</si>
  <si>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</si>
  <si>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</si>
  <si>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</si>
  <si>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</si>
  <si>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</si>
  <si>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</si>
  <si>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</si>
  <si>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</si>
  <si>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</si>
  <si>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</si>
  <si>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</si>
  <si>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</si>
  <si>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</si>
  <si>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</si>
  <si>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</si>
  <si>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</si>
  <si>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</si>
  <si>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</si>
  <si>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</si>
  <si>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</si>
  <si>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</si>
  <si>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</si>
  <si>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</si>
  <si>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</si>
  <si>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</si>
  <si>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</si>
  <si>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</si>
  <si>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</si>
  <si>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</si>
  <si>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</si>
  <si>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</si>
  <si>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</si>
  <si>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</si>
  <si>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</si>
  <si>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</si>
  <si>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</si>
  <si>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</si>
  <si>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</si>
  <si>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</si>
  <si>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</si>
  <si>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</si>
  <si>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</si>
  <si>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</si>
  <si>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</si>
  <si>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</si>
  <si>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</si>
  <si>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</si>
  <si>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</si>
  <si>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A101</t>
  </si>
  <si>
    <t>A119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</si>
  <si>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</si>
  <si>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</si>
  <si>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</si>
  <si>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</si>
  <si>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</si>
  <si>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</si>
  <si>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</si>
  <si>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</si>
  <si>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</si>
  <si>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</si>
  <si>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</si>
  <si>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</si>
  <si>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</si>
  <si>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</si>
  <si>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</si>
  <si>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</si>
  <si>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</si>
  <si>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</si>
  <si>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</si>
  <si>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</si>
  <si>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</si>
  <si>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</si>
  <si>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</si>
  <si>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</si>
  <si>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</si>
  <si>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</si>
  <si>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</si>
  <si>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</si>
  <si>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</si>
  <si>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</si>
  <si>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</si>
  <si>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</si>
  <si>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</si>
  <si>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</si>
  <si>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</si>
  <si>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</si>
  <si>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</si>
  <si>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</si>
  <si>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D150</t>
  </si>
  <si>
    <t>DD1</t>
  </si>
  <si>
    <t>D255</t>
  </si>
  <si>
    <t>D254</t>
  </si>
  <si>
    <t>D256</t>
  </si>
  <si>
    <t>D257</t>
  </si>
  <si>
    <t>D258</t>
  </si>
  <si>
    <t>D259</t>
  </si>
  <si>
    <t>D260</t>
  </si>
  <si>
    <t>D261</t>
  </si>
  <si>
    <t>D262</t>
  </si>
  <si>
    <t>D263</t>
  </si>
  <si>
    <t>D264</t>
  </si>
  <si>
    <t>D265</t>
  </si>
  <si>
    <t>M1</t>
  </si>
  <si>
    <t>M2</t>
  </si>
  <si>
    <t>M3</t>
  </si>
  <si>
    <t>D266</t>
  </si>
  <si>
    <t>D267</t>
  </si>
  <si>
    <t>D268</t>
  </si>
  <si>
    <t>D269</t>
  </si>
  <si>
    <t>D270</t>
  </si>
  <si>
    <t>D271</t>
  </si>
  <si>
    <t>D272</t>
  </si>
  <si>
    <t>D273</t>
  </si>
  <si>
    <t>D274</t>
  </si>
  <si>
    <t>D275</t>
  </si>
  <si>
    <t>D276</t>
  </si>
  <si>
    <t>D277</t>
  </si>
  <si>
    <t>D278</t>
  </si>
  <si>
    <t>D279</t>
  </si>
  <si>
    <t>D280</t>
  </si>
  <si>
    <t>D281</t>
  </si>
  <si>
    <t>D282</t>
  </si>
  <si>
    <t>D283</t>
  </si>
  <si>
    <t>D284</t>
  </si>
  <si>
    <t>D285</t>
  </si>
  <si>
    <t>D286</t>
  </si>
  <si>
    <t>D287</t>
  </si>
  <si>
    <t>D288</t>
  </si>
  <si>
    <t>D289</t>
  </si>
  <si>
    <t>D290</t>
  </si>
  <si>
    <t>D291</t>
  </si>
  <si>
    <t>D292</t>
  </si>
  <si>
    <t>D293</t>
  </si>
  <si>
    <t>D294</t>
  </si>
  <si>
    <t>D295</t>
  </si>
  <si>
    <t>D296</t>
  </si>
  <si>
    <t>D297</t>
  </si>
  <si>
    <t>D298</t>
  </si>
  <si>
    <t>D299</t>
  </si>
  <si>
    <t>D300</t>
  </si>
  <si>
    <t>D301</t>
  </si>
  <si>
    <t>D302</t>
  </si>
  <si>
    <t>D303</t>
  </si>
  <si>
    <t>D304</t>
  </si>
  <si>
    <t>D305</t>
  </si>
  <si>
    <t>D306</t>
  </si>
  <si>
    <t>D307</t>
  </si>
  <si>
    <t>D308</t>
  </si>
  <si>
    <t>D309</t>
  </si>
  <si>
    <t>D310</t>
  </si>
  <si>
    <t>D311</t>
  </si>
  <si>
    <t>D312</t>
  </si>
  <si>
    <t>D313</t>
  </si>
  <si>
    <t>D314</t>
  </si>
  <si>
    <t>D315</t>
  </si>
  <si>
    <t>D316</t>
  </si>
  <si>
    <t>D317</t>
  </si>
  <si>
    <t>D318</t>
  </si>
  <si>
    <t>D319</t>
  </si>
  <si>
    <t>D320</t>
  </si>
  <si>
    <t>D321</t>
  </si>
  <si>
    <t>D322</t>
  </si>
  <si>
    <t>D323</t>
  </si>
  <si>
    <t>D324</t>
  </si>
  <si>
    <t>D325</t>
  </si>
  <si>
    <t>D326</t>
  </si>
  <si>
    <t>D327</t>
  </si>
  <si>
    <t>D328</t>
  </si>
  <si>
    <t>D329</t>
  </si>
  <si>
    <t>D330</t>
  </si>
  <si>
    <t>D331</t>
  </si>
  <si>
    <t>D332</t>
  </si>
  <si>
    <t>D333</t>
  </si>
  <si>
    <t>D334</t>
  </si>
  <si>
    <t>D335</t>
  </si>
  <si>
    <t>D336</t>
  </si>
  <si>
    <t>D337</t>
  </si>
  <si>
    <t>D338</t>
  </si>
  <si>
    <t>D339</t>
  </si>
  <si>
    <t>D340</t>
  </si>
  <si>
    <t>D341</t>
  </si>
  <si>
    <t>D342</t>
  </si>
  <si>
    <t>D343</t>
  </si>
  <si>
    <t>D344</t>
  </si>
  <si>
    <t>D345</t>
  </si>
  <si>
    <t>D346</t>
  </si>
  <si>
    <t>D347</t>
  </si>
  <si>
    <t>D348</t>
  </si>
  <si>
    <t>D349</t>
  </si>
  <si>
    <t>D350</t>
  </si>
  <si>
    <t>D351</t>
  </si>
  <si>
    <t>D352</t>
  </si>
  <si>
    <t>D353</t>
  </si>
  <si>
    <t>D354</t>
  </si>
  <si>
    <t>D355</t>
  </si>
  <si>
    <t>D356</t>
  </si>
  <si>
    <t>D357</t>
  </si>
  <si>
    <t>SP</t>
  </si>
  <si>
    <t>RATE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</si>
  <si>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</si>
  <si>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</si>
  <si>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</si>
  <si>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</si>
  <si>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</si>
  <si>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</si>
  <si>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</si>
  <si>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</si>
  <si>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</si>
  <si>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</si>
  <si>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</si>
  <si>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</si>
  <si>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</si>
  <si>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</si>
  <si>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</si>
  <si>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</si>
  <si>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</si>
  <si>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</si>
  <si>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</si>
  <si>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</si>
  <si>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</si>
  <si>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</si>
  <si>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</si>
  <si>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</si>
  <si>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</si>
  <si>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</si>
  <si>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</si>
  <si>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</si>
  <si>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</si>
  <si>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</si>
  <si>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</si>
  <si>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</si>
  <si>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</si>
  <si>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</si>
  <si>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</si>
  <si>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</si>
  <si>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</si>
  <si>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</si>
  <si>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</si>
  <si>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</si>
  <si>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</si>
  <si>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</si>
  <si>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</si>
  <si>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</si>
  <si>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</si>
  <si>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</si>
  <si>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</si>
  <si>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</si>
  <si>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</si>
  <si>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</si>
  <si>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</si>
  <si>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</si>
  <si>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</si>
  <si>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</si>
  <si>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</si>
  <si>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</si>
  <si>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</si>
  <si>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</si>
  <si>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</si>
  <si>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</si>
  <si>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</si>
  <si>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</si>
  <si>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</si>
  <si>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</si>
  <si>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</si>
  <si>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</si>
  <si>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</si>
  <si>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</si>
  <si>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</si>
  <si>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</si>
  <si>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</si>
  <si>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</si>
  <si>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</si>
  <si>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</si>
  <si>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</si>
  <si>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</si>
  <si>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</si>
  <si>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</si>
  <si>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</si>
  <si>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</si>
  <si>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</si>
  <si>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</si>
  <si>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</si>
  <si>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</si>
  <si>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</si>
  <si>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</si>
  <si>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</si>
  <si>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</si>
  <si>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</si>
  <si>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</si>
  <si>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</si>
  <si>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C1</t>
  </si>
  <si>
    <t>C2</t>
  </si>
  <si>
    <t>S1</t>
  </si>
  <si>
    <t>P1</t>
  </si>
  <si>
    <t>S2</t>
  </si>
  <si>
    <t>D358</t>
  </si>
  <si>
    <t>D359</t>
  </si>
  <si>
    <t>D360</t>
  </si>
  <si>
    <t>D361</t>
  </si>
  <si>
    <t>D362</t>
  </si>
  <si>
    <t>D363</t>
  </si>
  <si>
    <t>D364</t>
  </si>
  <si>
    <t>D365</t>
  </si>
  <si>
    <t>D366</t>
  </si>
  <si>
    <t>D367</t>
  </si>
  <si>
    <t>D368</t>
  </si>
  <si>
    <t>D369</t>
  </si>
  <si>
    <t>D370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</si>
  <si>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</si>
  <si>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</si>
  <si>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</si>
  <si>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</si>
  <si>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</si>
  <si>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</si>
  <si>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</si>
  <si>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</si>
  <si>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</si>
  <si>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</si>
  <si>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</si>
  <si>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</si>
  <si>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</si>
  <si>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</si>
  <si>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</si>
  <si>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</si>
  <si>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</si>
  <si>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</si>
  <si>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</si>
  <si>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</si>
  <si>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</si>
  <si>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</si>
  <si>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</si>
  <si>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</si>
  <si>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</si>
  <si>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</si>
  <si>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</si>
  <si>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</si>
  <si>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</si>
  <si>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</si>
  <si>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</si>
  <si>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</si>
  <si>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</si>
  <si>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</si>
  <si>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</si>
  <si>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</si>
  <si>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</si>
  <si>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</si>
  <si>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</si>
  <si>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</si>
  <si>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</si>
  <si>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</si>
  <si>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</si>
  <si>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</si>
  <si>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</si>
  <si>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</si>
  <si>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</si>
  <si>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</si>
  <si>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</si>
  <si>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</si>
  <si>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</si>
  <si>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</si>
  <si>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</si>
  <si>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</si>
  <si>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</si>
  <si>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</si>
  <si>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</si>
  <si>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</si>
  <si>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</si>
  <si>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</si>
  <si>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</si>
  <si>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</si>
  <si>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</si>
  <si>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</si>
  <si>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</si>
  <si>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</si>
  <si>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</si>
  <si>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</si>
  <si>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</si>
  <si>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</si>
  <si>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</si>
  <si>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</si>
  <si>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</si>
  <si>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</si>
  <si>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</si>
  <si>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</si>
  <si>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</si>
  <si>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</si>
  <si>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</si>
  <si>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</si>
  <si>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</si>
  <si>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</si>
  <si>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</si>
  <si>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</si>
  <si>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</si>
  <si>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</si>
  <si>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</si>
  <si>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</si>
  <si>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</si>
  <si>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</si>
  <si>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</si>
  <si>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</si>
  <si>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</si>
  <si>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</si>
  <si>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</si>
  <si>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</si>
  <si>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</si>
  <si>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</si>
  <si>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</si>
  <si>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</si>
  <si>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</si>
  <si>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</si>
  <si>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</si>
  <si>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</si>
  <si>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</si>
  <si>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</si>
  <si>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</si>
  <si>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</si>
  <si>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</si>
  <si>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</si>
  <si>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</si>
  <si>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</si>
  <si>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</si>
  <si>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</si>
  <si>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</si>
  <si>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</si>
  <si>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</si>
  <si>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</si>
  <si>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</si>
  <si>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</si>
  <si>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</si>
  <si>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</si>
  <si>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</si>
  <si>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</si>
  <si>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</si>
  <si>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</si>
  <si>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</si>
  <si>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</si>
  <si>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</si>
  <si>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</si>
  <si>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</si>
  <si>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</si>
  <si>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</si>
  <si>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</si>
  <si>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</si>
  <si>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</si>
  <si>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</si>
  <si>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</si>
  <si>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</si>
  <si>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</si>
  <si>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</si>
  <si>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</si>
  <si>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</si>
  <si>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</si>
  <si>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</si>
  <si>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</si>
  <si>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</si>
  <si>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</si>
  <si>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</si>
  <si>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</si>
  <si>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</si>
  <si>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</si>
  <si>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</si>
  <si>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</si>
  <si>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</si>
  <si>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</si>
  <si>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</si>
  <si>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</si>
  <si>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</si>
  <si>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</si>
  <si>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</si>
  <si>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</si>
  <si>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</si>
  <si>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</si>
  <si>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</si>
  <si>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</si>
  <si>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</si>
  <si>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</si>
  <si>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</si>
  <si>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</si>
  <si>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</si>
  <si>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</si>
  <si>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</si>
  <si>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</si>
  <si>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</si>
  <si>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</si>
  <si>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</si>
  <si>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</si>
  <si>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</si>
  <si>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</si>
  <si>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</si>
  <si>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</si>
  <si>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</si>
  <si>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</si>
  <si>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</si>
  <si>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</si>
  <si>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</si>
  <si>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</si>
  <si>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</si>
  <si>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</si>
  <si>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</si>
  <si>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</si>
  <si>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</si>
  <si>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</si>
  <si>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</si>
  <si>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</si>
  <si>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</si>
  <si>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</si>
  <si>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</si>
  <si>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</si>
  <si>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</si>
  <si>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</si>
  <si>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</si>
  <si>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</si>
  <si>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</si>
  <si>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</si>
  <si>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</si>
  <si>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</si>
  <si>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</si>
  <si>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</si>
  <si>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</si>
  <si>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</si>
  <si>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</si>
  <si>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</si>
  <si>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</si>
  <si>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</si>
  <si>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</si>
  <si>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</si>
  <si>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</si>
  <si>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</si>
  <si>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</si>
  <si>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</si>
  <si>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</si>
  <si>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</si>
  <si>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</si>
  <si>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</si>
  <si>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</si>
  <si>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</si>
  <si>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</si>
  <si>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</si>
  <si>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</si>
  <si>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</si>
  <si>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</si>
  <si>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</si>
  <si>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</si>
  <si>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</si>
  <si>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</si>
  <si>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</si>
  <si>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</si>
  <si>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</si>
  <si>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</si>
  <si>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</si>
  <si>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</si>
  <si>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</si>
  <si>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</si>
  <si>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</si>
  <si>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</si>
  <si>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</si>
  <si>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</si>
  <si>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</si>
  <si>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</si>
  <si>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</si>
  <si>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</si>
  <si>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</si>
  <si>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</si>
  <si>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</si>
  <si>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</si>
  <si>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</si>
  <si>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</si>
  <si>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</si>
  <si>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</si>
  <si>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</si>
  <si>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</si>
  <si>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</si>
  <si>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</si>
  <si>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</si>
  <si>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</si>
  <si>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</si>
  <si>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</si>
  <si>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</si>
  <si>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</si>
  <si>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</si>
  <si>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</si>
  <si>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</si>
  <si>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</si>
  <si>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</si>
  <si>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</si>
  <si>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</si>
  <si>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</si>
  <si>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</si>
  <si>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C3</t>
  </si>
  <si>
    <t>D371</t>
  </si>
  <si>
    <t xml:space="preserve"> </t>
  </si>
  <si>
    <t>D372</t>
  </si>
  <si>
    <t>D373</t>
  </si>
  <si>
    <t>D374</t>
  </si>
  <si>
    <t>D375</t>
  </si>
  <si>
    <t>D376</t>
  </si>
  <si>
    <t>D377</t>
  </si>
  <si>
    <t>D378</t>
  </si>
  <si>
    <t>D379</t>
  </si>
  <si>
    <t>D380</t>
  </si>
  <si>
    <t>D381</t>
  </si>
  <si>
    <t>D382</t>
  </si>
  <si>
    <t>D383</t>
  </si>
  <si>
    <t>D384</t>
  </si>
  <si>
    <t>D385</t>
  </si>
  <si>
    <t>D386</t>
  </si>
  <si>
    <t>D387</t>
  </si>
  <si>
    <t>D388</t>
  </si>
  <si>
    <t>D389</t>
  </si>
  <si>
    <t>D390</t>
  </si>
  <si>
    <t>D391</t>
  </si>
  <si>
    <t>D392</t>
  </si>
  <si>
    <t>D393</t>
  </si>
  <si>
    <t>D394</t>
  </si>
  <si>
    <t>D395</t>
  </si>
  <si>
    <t>D396</t>
  </si>
  <si>
    <t>D397</t>
  </si>
  <si>
    <t>D398</t>
  </si>
  <si>
    <t>D399</t>
  </si>
  <si>
    <t>D400</t>
  </si>
  <si>
    <t>D401</t>
  </si>
  <si>
    <t>D402</t>
  </si>
  <si>
    <t>D403</t>
  </si>
  <si>
    <t>D404</t>
  </si>
  <si>
    <t>D405</t>
  </si>
  <si>
    <t>D406</t>
  </si>
  <si>
    <t>D407</t>
  </si>
  <si>
    <t>D408</t>
  </si>
  <si>
    <t>D409</t>
  </si>
  <si>
    <t>D410</t>
  </si>
  <si>
    <t>D411</t>
  </si>
  <si>
    <t>D412</t>
  </si>
  <si>
    <t>D413</t>
  </si>
  <si>
    <t>D414</t>
  </si>
  <si>
    <t>D415</t>
  </si>
  <si>
    <t>D416</t>
  </si>
  <si>
    <t>D417</t>
  </si>
  <si>
    <t>D418</t>
  </si>
  <si>
    <t>D419</t>
  </si>
  <si>
    <t>D420</t>
  </si>
  <si>
    <t>D421</t>
  </si>
  <si>
    <t>D422</t>
  </si>
  <si>
    <t>D423</t>
  </si>
  <si>
    <t>D424</t>
  </si>
  <si>
    <t>D425</t>
  </si>
  <si>
    <t>D426</t>
  </si>
  <si>
    <t>D427</t>
  </si>
  <si>
    <t>D428</t>
  </si>
  <si>
    <t>D429</t>
  </si>
  <si>
    <t>D430</t>
  </si>
  <si>
    <t>D431</t>
  </si>
  <si>
    <t>D432</t>
  </si>
  <si>
    <t>D433</t>
  </si>
  <si>
    <t>D434</t>
  </si>
  <si>
    <t>D435</t>
  </si>
  <si>
    <t>D436</t>
  </si>
  <si>
    <t>D437</t>
  </si>
  <si>
    <t>D438</t>
  </si>
  <si>
    <t>D439</t>
  </si>
  <si>
    <t>D440</t>
  </si>
  <si>
    <t>D441</t>
  </si>
  <si>
    <t>D442</t>
  </si>
  <si>
    <t>D443</t>
  </si>
  <si>
    <t>D444</t>
  </si>
  <si>
    <t>D445</t>
  </si>
  <si>
    <t>D446</t>
  </si>
  <si>
    <t>D447</t>
  </si>
  <si>
    <t>D448</t>
  </si>
  <si>
    <t>D449</t>
  </si>
  <si>
    <t>D450</t>
  </si>
  <si>
    <t>D451</t>
  </si>
  <si>
    <t>D452</t>
  </si>
  <si>
    <t>D453</t>
  </si>
  <si>
    <t>D454</t>
  </si>
  <si>
    <t>D455</t>
  </si>
  <si>
    <t>D456</t>
  </si>
  <si>
    <t>D457</t>
  </si>
  <si>
    <t>D458</t>
  </si>
  <si>
    <t>D459</t>
  </si>
  <si>
    <t>D460</t>
  </si>
  <si>
    <t>D461</t>
  </si>
  <si>
    <t>D462</t>
  </si>
  <si>
    <t>D463</t>
  </si>
  <si>
    <t>D464</t>
  </si>
  <si>
    <t>D465</t>
  </si>
  <si>
    <t>D466</t>
  </si>
  <si>
    <t>D467</t>
  </si>
  <si>
    <t>D468</t>
  </si>
  <si>
    <t>D469</t>
  </si>
  <si>
    <t>D470</t>
  </si>
  <si>
    <t>D471</t>
  </si>
  <si>
    <t>D472</t>
  </si>
  <si>
    <t>D473</t>
  </si>
  <si>
    <t>D474</t>
  </si>
  <si>
    <t>D475</t>
  </si>
  <si>
    <t>D476</t>
  </si>
  <si>
    <t>D477</t>
  </si>
  <si>
    <t>D478</t>
  </si>
  <si>
    <t>D479</t>
  </si>
  <si>
    <t>D480</t>
  </si>
  <si>
    <t>D481</t>
  </si>
  <si>
    <t>D482</t>
  </si>
  <si>
    <t>D483</t>
  </si>
  <si>
    <t>D484</t>
  </si>
  <si>
    <t>D485</t>
  </si>
  <si>
    <t>D486</t>
  </si>
  <si>
    <t>D487</t>
  </si>
  <si>
    <t>D488</t>
  </si>
  <si>
    <t>D489</t>
  </si>
  <si>
    <t>D490</t>
  </si>
  <si>
    <t>D491</t>
  </si>
  <si>
    <t>D492</t>
  </si>
  <si>
    <t>D493</t>
  </si>
  <si>
    <t>D494</t>
  </si>
  <si>
    <t>D495</t>
  </si>
  <si>
    <t>D496</t>
  </si>
  <si>
    <t>D497</t>
  </si>
  <si>
    <t>D498</t>
  </si>
  <si>
    <t>D499</t>
  </si>
  <si>
    <t>D500</t>
  </si>
  <si>
    <t>D501</t>
  </si>
  <si>
    <t>D502</t>
  </si>
  <si>
    <t>D503</t>
  </si>
  <si>
    <t>D504</t>
  </si>
  <si>
    <t>D505</t>
  </si>
  <si>
    <t>D506</t>
  </si>
  <si>
    <t>D507</t>
  </si>
  <si>
    <t>D508</t>
  </si>
  <si>
    <t>D509</t>
  </si>
  <si>
    <t>D510</t>
  </si>
  <si>
    <t>D511</t>
  </si>
  <si>
    <t>D512</t>
  </si>
  <si>
    <t>D513</t>
  </si>
  <si>
    <t>D514</t>
  </si>
  <si>
    <t>D515</t>
  </si>
  <si>
    <t>D516</t>
  </si>
  <si>
    <t>D517</t>
  </si>
  <si>
    <t>D518</t>
  </si>
  <si>
    <t>D519</t>
  </si>
  <si>
    <t>D520</t>
  </si>
  <si>
    <t>D521</t>
  </si>
  <si>
    <t>D522</t>
  </si>
  <si>
    <t>D523</t>
  </si>
  <si>
    <t>D524</t>
  </si>
  <si>
    <t>D525</t>
  </si>
  <si>
    <t>D526</t>
  </si>
  <si>
    <t>D527</t>
  </si>
  <si>
    <t>D528</t>
  </si>
  <si>
    <t>D529</t>
  </si>
  <si>
    <t>D530</t>
  </si>
  <si>
    <t>D531</t>
  </si>
  <si>
    <t>D532</t>
  </si>
  <si>
    <t>D533</t>
  </si>
  <si>
    <t>D534</t>
  </si>
  <si>
    <t>D535</t>
  </si>
  <si>
    <t>D536</t>
  </si>
  <si>
    <t>D537</t>
  </si>
  <si>
    <t>D538</t>
  </si>
  <si>
    <t>D539</t>
  </si>
  <si>
    <t>D540</t>
  </si>
  <si>
    <t>D541</t>
  </si>
  <si>
    <t>D542</t>
  </si>
  <si>
    <t>D543</t>
  </si>
  <si>
    <t>D544</t>
  </si>
  <si>
    <t>D545</t>
  </si>
  <si>
    <t>D546</t>
  </si>
  <si>
    <t>D547</t>
  </si>
  <si>
    <t>D548</t>
  </si>
  <si>
    <t>D549</t>
  </si>
  <si>
    <t>D550</t>
  </si>
  <si>
    <t>D551</t>
  </si>
  <si>
    <t>D552</t>
  </si>
  <si>
    <t>D553</t>
  </si>
  <si>
    <t>D554</t>
  </si>
  <si>
    <t>D555</t>
  </si>
  <si>
    <t>D556</t>
  </si>
  <si>
    <t>D557</t>
  </si>
  <si>
    <t>D558</t>
  </si>
  <si>
    <t>D559</t>
  </si>
  <si>
    <t>D560</t>
  </si>
  <si>
    <t>D561</t>
  </si>
  <si>
    <t>D562</t>
  </si>
  <si>
    <t>D563</t>
  </si>
  <si>
    <t>D564</t>
  </si>
  <si>
    <t>D565</t>
  </si>
  <si>
    <t>D566</t>
  </si>
  <si>
    <t>D567</t>
  </si>
  <si>
    <t>D568</t>
  </si>
  <si>
    <t>D569</t>
  </si>
  <si>
    <t>D570</t>
  </si>
  <si>
    <t>D571</t>
  </si>
  <si>
    <t>D572</t>
  </si>
  <si>
    <t>D573</t>
  </si>
  <si>
    <t>D574</t>
  </si>
  <si>
    <t>D575</t>
  </si>
  <si>
    <t>D576</t>
  </si>
  <si>
    <t>D577</t>
  </si>
  <si>
    <t>D578</t>
  </si>
  <si>
    <t>D579</t>
  </si>
  <si>
    <t>D580</t>
  </si>
  <si>
    <t>D581</t>
  </si>
  <si>
    <t>D582</t>
  </si>
  <si>
    <t>D583</t>
  </si>
  <si>
    <t>D584</t>
  </si>
  <si>
    <t>D585</t>
  </si>
  <si>
    <t>D586</t>
  </si>
  <si>
    <t>D587</t>
  </si>
  <si>
    <t>D588</t>
  </si>
  <si>
    <t>D589</t>
  </si>
  <si>
    <t>D590</t>
  </si>
  <si>
    <t>D591</t>
  </si>
  <si>
    <t>D592</t>
  </si>
  <si>
    <t>D593</t>
  </si>
  <si>
    <t>D594</t>
  </si>
  <si>
    <t>D595</t>
  </si>
  <si>
    <t>D596</t>
  </si>
  <si>
    <t>D597</t>
  </si>
  <si>
    <t>D598</t>
  </si>
  <si>
    <t>D599</t>
  </si>
  <si>
    <t>D600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</si>
  <si>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</si>
  <si>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</si>
  <si>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</si>
  <si>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</si>
  <si>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</si>
  <si>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</si>
  <si>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</si>
  <si>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</si>
  <si>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</si>
  <si>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</si>
  <si>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</si>
  <si>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</si>
  <si>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</si>
  <si>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</si>
  <si>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</si>
  <si>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w1</t>
  </si>
  <si>
    <t>w2</t>
  </si>
  <si>
    <t>QTY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</si>
  <si>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</si>
  <si>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</si>
  <si>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</si>
  <si>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</si>
  <si>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</si>
  <si>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</si>
  <si>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</si>
  <si>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</si>
  <si>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</si>
  <si>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</si>
  <si>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</si>
  <si>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</si>
  <si>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</si>
  <si>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</si>
  <si>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</si>
  <si>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</si>
  <si>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</si>
  <si>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</si>
  <si>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</si>
  <si>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</si>
  <si>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</si>
  <si>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</si>
  <si>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</si>
  <si>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</si>
  <si>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</si>
  <si>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</si>
  <si>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</si>
  <si>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</si>
  <si>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</si>
  <si>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</si>
  <si>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</si>
  <si>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</si>
  <si>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</si>
  <si>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</si>
  <si>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</si>
  <si>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</si>
  <si>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</si>
  <si>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</si>
  <si>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</si>
  <si>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</si>
  <si>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</si>
  <si>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</si>
  <si>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</si>
  <si>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</si>
  <si>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</si>
  <si>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</si>
  <si>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</si>
  <si>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</si>
  <si>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</si>
  <si>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</si>
  <si>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</si>
  <si>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</si>
  <si>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</si>
  <si>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</si>
  <si>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</si>
  <si>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</si>
  <si>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</si>
  <si>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</si>
  <si>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</si>
  <si>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</si>
  <si>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</si>
  <si>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MODE</t>
  </si>
  <si>
    <t>Total</t>
  </si>
  <si>
    <t>Discount</t>
  </si>
  <si>
    <t>Total Qty</t>
  </si>
  <si>
    <t>XYZ STORES</t>
  </si>
  <si>
    <t>XYZ</t>
  </si>
  <si>
    <t>97XXXXXXXX</t>
  </si>
  <si>
    <t>GSTIN:29XXXXXXXXXXXXXX</t>
  </si>
  <si>
    <t>Logics have been applied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</si>
</sst>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.00"/>
    <numFmt numFmtId="165" formatCode="[&lt;=9999999]###\-####;\(###\)\ ###\-####"/>
    <numFmt numFmtId="166" formatCode="&quot;₹&quot;\ #,##0.00"/>
    <numFmt numFmtId="167" formatCode="[$-14009]dd/mmm/yy;@"/>
    <numFmt numFmtId="168" formatCode="[$-14009]hh:mm;@"/>
  </numFmts>
  <fonts count="35" x14ac:knownFonts="1">
    <font>
      <sz val="11"/>
      <color theme="5" tint="-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5" tint="-0.24994659260841701"/>
      <name val="Century Gothic"/>
      <family val="2"/>
      <scheme val="major"/>
    </font>
    <font>
      <b/>
      <sz val="16"/>
      <color theme="5"/>
      <name val="Century Gothic"/>
      <family val="2"/>
      <scheme val="major"/>
    </font>
    <font>
      <b/>
      <sz val="11"/>
      <color theme="5"/>
      <name val="Calibri"/>
      <family val="2"/>
      <scheme val="minor"/>
    </font>
    <font>
      <sz val="28"/>
      <color theme="5"/>
      <name val="Century Gothic"/>
      <family val="2"/>
      <scheme val="major"/>
    </font>
    <font>
      <i/>
      <sz val="11"/>
      <color theme="5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5" tint="-0.24994659260841701"/>
      <name val="Century Gothic"/>
      <family val="2"/>
      <scheme val="major"/>
    </font>
    <font>
      <b/>
      <sz val="11"/>
      <color theme="5" tint="-0.24994659260841701"/>
      <name val="Calibri"/>
      <family val="2"/>
      <scheme val="minor"/>
    </font>
    <font>
      <b/>
      <sz val="16"/>
      <color theme="5" tint="-0.24994659260841701"/>
      <name val="Calibri"/>
      <family val="2"/>
      <scheme val="minor"/>
    </font>
    <font>
      <sz val="14"/>
      <color theme="5" tint="-0.24994659260841701"/>
      <name val="Calibri"/>
      <family val="2"/>
      <scheme val="minor"/>
    </font>
    <font>
      <b/>
      <sz val="14"/>
      <color theme="5" tint="-0.24994659260841701"/>
      <name val="Calibri"/>
      <family val="2"/>
      <scheme val="minor"/>
    </font>
    <font>
      <b/>
      <sz val="12"/>
      <color theme="5" tint="-0.24994659260841701"/>
      <name val="Calibri"/>
      <family val="2"/>
      <scheme val="minor"/>
    </font>
    <font>
      <b/>
      <sz val="12"/>
      <color theme="5" tint="-0.24994659260841701"/>
      <name val="Century Gothic"/>
      <family val="2"/>
      <scheme val="major"/>
    </font>
    <font>
      <b/>
      <i/>
      <sz val="12"/>
      <color theme="5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sz val="12"/>
      <color theme="5" tint="-0.24994659260841701"/>
      <name val="Calibri"/>
      <family val="2"/>
      <scheme val="minor"/>
    </font>
    <font>
      <b/>
      <sz val="18"/>
      <color theme="5" tint="-0.24994659260841701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24"/>
      <color theme="5"/>
      <name val="Calibri"/>
      <family val="2"/>
      <scheme val="minor"/>
    </font>
    <font>
      <b/>
      <sz val="14"/>
      <color theme="5" tint="-0.24994659260841701"/>
      <name val="Century Gothic"/>
      <family val="2"/>
      <scheme val="major"/>
    </font>
    <font>
      <b/>
      <i/>
      <sz val="14"/>
      <color theme="5"/>
      <name val="Calibri"/>
      <family val="2"/>
      <scheme val="minor"/>
    </font>
    <font>
      <sz val="16"/>
      <color theme="5" tint="-0.2499465926084170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5" tint="-0.24994659260841701"/>
      <name val="Elephant"/>
      <family val="1"/>
    </font>
    <font>
      <b/>
      <sz val="12"/>
      <color theme="5" tint="-0.249977111117893"/>
      <name val="Calibri"/>
      <family val="2"/>
      <scheme val="minor"/>
    </font>
    <font>
      <sz val="11"/>
      <color rgb="FF384347"/>
      <name val="Calibri"/>
      <family val="2"/>
    </font>
    <font>
      <b/>
      <sz val="22"/>
      <color theme="5" tint="-0.2499465926084170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5"/>
      </bottom>
      <diagonal/>
    </border>
    <border>
      <left/>
      <right/>
      <top/>
      <bottom style="thin">
        <color theme="5"/>
      </bottom>
      <diagonal/>
    </border>
  </borders>
  <cellStyleXfs count="18">
    <xf numFmtId="0" fontId="0" fillId="0" borderId="0">
      <alignment wrapText="1"/>
    </xf>
    <xf numFmtId="0" fontId="5" fillId="0" borderId="0" applyNumberFormat="0" applyFill="0" applyBorder="0" applyProtection="0">
      <alignment horizontal="right"/>
    </xf>
    <xf numFmtId="0" fontId="3" fillId="0" borderId="0" applyNumberFormat="0" applyFill="0" applyBorder="0" applyProtection="0">
      <alignment horizontal="left"/>
    </xf>
    <xf numFmtId="0" fontId="2" fillId="0" borderId="0" applyNumberFormat="0" applyFill="0" applyProtection="0"/>
    <xf numFmtId="0" fontId="8" fillId="0" borderId="0" applyNumberFormat="0" applyFill="0" applyProtection="0">
      <alignment horizontal="left"/>
    </xf>
    <xf numFmtId="0" fontId="6" fillId="0" borderId="0" applyNumberFormat="0" applyFill="0" applyBorder="0" applyProtection="0">
      <alignment horizontal="center"/>
    </xf>
    <xf numFmtId="0" fontId="9" fillId="0" borderId="1" applyNumberFormat="0" applyProtection="0"/>
    <xf numFmtId="4" fontId="7" fillId="0" borderId="0" applyFont="0" applyFill="0" applyBorder="0" applyProtection="0">
      <alignment horizontal="right"/>
    </xf>
    <xf numFmtId="164" fontId="7" fillId="0" borderId="0" applyFont="0" applyFill="0" applyBorder="0" applyProtection="0">
      <alignment horizontal="right"/>
    </xf>
    <xf numFmtId="0" fontId="4" fillId="0" borderId="2" applyNumberFormat="0" applyFill="0" applyProtection="0">
      <alignment horizontal="left"/>
    </xf>
    <xf numFmtId="0" fontId="1" fillId="2" borderId="1" applyNumberFormat="0" applyAlignment="0" applyProtection="0"/>
    <xf numFmtId="165" fontId="7" fillId="0" borderId="0" applyFont="0" applyFill="0" applyBorder="0" applyAlignment="0">
      <alignment horizontal="left" wrapText="1"/>
    </xf>
    <xf numFmtId="0" fontId="7" fillId="0" borderId="0" applyNumberFormat="0" applyFont="0" applyFill="0" applyBorder="0">
      <alignment horizontal="left" indent="8"/>
    </xf>
    <xf numFmtId="14" fontId="7" fillId="0" borderId="0" applyFont="0" applyFill="0" applyBorder="0">
      <alignment horizontal="left"/>
    </xf>
    <xf numFmtId="0" fontId="8" fillId="0" borderId="0" applyNumberFormat="0" applyFill="0" applyBorder="0" applyAlignment="0" applyProtection="0">
      <alignment wrapText="1"/>
    </xf>
    <xf numFmtId="0" fontId="8" fillId="0" borderId="0" applyNumberFormat="0" applyFill="0" applyBorder="0" applyAlignment="0" applyProtection="0">
      <alignment wrapText="1"/>
    </xf>
    <xf numFmtId="165" fontId="8" fillId="0" borderId="0" applyFont="0" applyFill="0" applyBorder="0">
      <alignment horizontal="left" vertical="top" indent="8"/>
    </xf>
    <xf numFmtId="165" fontId="8" fillId="0" borderId="0" applyFont="0" applyFill="0" applyBorder="0">
      <alignment horizontal="left" vertical="top"/>
    </xf>
  </cellStyleXfs>
  <cellXfs count="80">
    <xf numFmtId="0" fontId="0" fillId="0" borderId="0" xfId="0">
      <alignment wrapText="1"/>
    </xf>
    <xf numFmtId="0" fontId="0" fillId="0" borderId="0" xfId="0" applyProtection="1">
      <alignment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" fontId="13" fillId="0" borderId="0" xfId="0" applyNumberFormat="1" applyFont="1" applyAlignment="1" applyProtection="1">
      <alignment horizontal="center" vertical="center" wrapText="1"/>
      <protection locked="0"/>
    </xf>
    <xf numFmtId="0" fontId="27" fillId="0" borderId="0" xfId="0" applyFont="1" applyProtection="1">
      <alignment wrapText="1"/>
      <protection locked="0"/>
    </xf>
    <xf numFmtId="0" fontId="26" fillId="0" borderId="6" xfId="0" applyFont="1" applyFill="1" applyBorder="1" applyAlignment="1" applyProtection="1">
      <alignment horizontal="center" vertical="center" wrapText="1"/>
      <protection locked="0"/>
    </xf>
    <xf numFmtId="166" fontId="10" fillId="0" borderId="0" xfId="0" applyNumberFormat="1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center" vertical="center" wrapText="1"/>
      <protection locked="0"/>
    </xf>
    <xf numFmtId="2" fontId="19" fillId="0" borderId="0" xfId="0" applyNumberFormat="1" applyFont="1" applyAlignment="1" applyProtection="1">
      <alignment horizontal="center" vertical="center" wrapText="1"/>
      <protection locked="0"/>
    </xf>
    <xf numFmtId="166" fontId="25" fillId="0" borderId="0" xfId="0" applyNumberFormat="1" applyFont="1" applyBorder="1" applyAlignment="1" applyProtection="1">
      <alignment horizontal="center" vertical="center" wrapText="1"/>
      <protection locked="0"/>
    </xf>
    <xf numFmtId="1" fontId="9" fillId="0" borderId="0" xfId="0" applyNumberFormat="1" applyFont="1" applyAlignment="1" applyProtection="1">
      <alignment horizontal="center" vertical="center" wrapText="1"/>
      <protection locked="0"/>
    </xf>
    <xf numFmtId="2" fontId="13" fillId="0" borderId="0" xfId="0" applyNumberFormat="1" applyFont="1" applyAlignment="1" applyProtection="1">
      <alignment horizontal="center" vertical="center" wrapText="1"/>
      <protection locked="0"/>
    </xf>
    <xf numFmtId="0" fontId="20" fillId="0" borderId="6" xfId="0" applyFont="1" applyFill="1" applyBorder="1" applyAlignment="1" applyProtection="1">
      <alignment horizontal="center" vertical="center" wrapText="1"/>
    </xf>
    <xf numFmtId="1" fontId="25" fillId="0" borderId="6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166" fontId="30" fillId="0" borderId="6" xfId="0" applyNumberFormat="1" applyFont="1" applyBorder="1" applyAlignment="1" applyProtection="1">
      <alignment horizontal="center" vertical="center" wrapText="1"/>
      <protection locked="0"/>
    </xf>
    <xf numFmtId="0" fontId="21" fillId="0" borderId="7" xfId="0" applyNumberFormat="1" applyFont="1" applyFill="1" applyBorder="1" applyAlignment="1" applyProtection="1">
      <alignment horizontal="center" vertical="center" wrapText="1"/>
      <protection locked="0"/>
    </xf>
    <xf numFmtId="1" fontId="18" fillId="0" borderId="6" xfId="6" applyNumberFormat="1" applyFont="1" applyFill="1" applyBorder="1" applyAlignment="1" applyProtection="1">
      <alignment horizontal="center" vertical="center"/>
      <protection locked="0"/>
    </xf>
    <xf numFmtId="166" fontId="30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Protection="1">
      <alignment wrapText="1"/>
    </xf>
    <xf numFmtId="0" fontId="12" fillId="0" borderId="3" xfId="0" applyFont="1" applyBorder="1" applyAlignment="1" applyProtection="1">
      <alignment horizontal="center" vertical="center" wrapText="1"/>
    </xf>
    <xf numFmtId="0" fontId="17" fillId="0" borderId="2" xfId="0" applyFont="1" applyBorder="1" applyAlignment="1" applyProtection="1">
      <alignment horizontal="center" vertical="center" wrapText="1"/>
    </xf>
    <xf numFmtId="1" fontId="17" fillId="0" borderId="2" xfId="6" applyNumberFormat="1" applyFont="1" applyBorder="1" applyAlignment="1" applyProtection="1">
      <alignment horizontal="center" vertical="center"/>
    </xf>
    <xf numFmtId="2" fontId="17" fillId="0" borderId="2" xfId="6" applyNumberFormat="1" applyFont="1" applyBorder="1" applyAlignment="1" applyProtection="1">
      <alignment horizontal="center" vertical="center"/>
    </xf>
    <xf numFmtId="2" fontId="17" fillId="0" borderId="2" xfId="14" applyNumberFormat="1" applyFont="1" applyBorder="1" applyAlignment="1" applyProtection="1">
      <alignment horizontal="center" vertical="center" wrapText="1"/>
    </xf>
    <xf numFmtId="166" fontId="17" fillId="0" borderId="2" xfId="6" applyNumberFormat="1" applyFont="1" applyBorder="1" applyAlignment="1" applyProtection="1">
      <alignment horizontal="center" vertical="center"/>
    </xf>
    <xf numFmtId="2" fontId="28" fillId="0" borderId="6" xfId="8" applyNumberFormat="1" applyFont="1" applyFill="1" applyBorder="1" applyAlignment="1" applyProtection="1">
      <alignment horizontal="center" vertical="center"/>
    </xf>
    <xf numFmtId="166" fontId="21" fillId="0" borderId="8" xfId="8" applyNumberFormat="1" applyFont="1" applyFill="1" applyBorder="1" applyAlignment="1" applyProtection="1">
      <alignment horizontal="center" vertical="center"/>
    </xf>
    <xf numFmtId="2" fontId="28" fillId="0" borderId="10" xfId="0" applyNumberFormat="1" applyFont="1" applyFill="1" applyBorder="1" applyAlignment="1" applyProtection="1">
      <alignment horizontal="center" vertical="center"/>
    </xf>
    <xf numFmtId="166" fontId="21" fillId="0" borderId="6" xfId="0" applyNumberFormat="1" applyFont="1" applyFill="1" applyBorder="1" applyAlignment="1" applyProtection="1">
      <alignment horizontal="center" vertical="center" wrapText="1"/>
    </xf>
    <xf numFmtId="2" fontId="15" fillId="0" borderId="0" xfId="5" applyNumberFormat="1" applyFont="1" applyFill="1" applyAlignment="1" applyProtection="1">
      <alignment horizontal="center" vertical="center"/>
    </xf>
    <xf numFmtId="166" fontId="20" fillId="0" borderId="6" xfId="0" applyNumberFormat="1" applyFont="1" applyFill="1" applyBorder="1" applyAlignment="1" applyProtection="1">
      <alignment horizontal="center" vertical="center" wrapText="1"/>
    </xf>
    <xf numFmtId="2" fontId="13" fillId="0" borderId="0" xfId="0" applyNumberFormat="1" applyFont="1" applyFill="1" applyAlignment="1" applyProtection="1">
      <alignment horizontal="center" vertical="center" wrapText="1"/>
    </xf>
    <xf numFmtId="2" fontId="19" fillId="0" borderId="0" xfId="0" applyNumberFormat="1" applyFont="1" applyFill="1" applyAlignment="1" applyProtection="1">
      <alignment horizontal="center" vertical="center" wrapText="1"/>
    </xf>
    <xf numFmtId="0" fontId="24" fillId="0" borderId="4" xfId="5" applyFont="1" applyFill="1" applyBorder="1" applyAlignment="1" applyProtection="1">
      <alignment horizontal="center" vertical="center"/>
    </xf>
    <xf numFmtId="1" fontId="28" fillId="0" borderId="9" xfId="0" applyNumberFormat="1" applyFont="1" applyFill="1" applyBorder="1" applyAlignment="1" applyProtection="1">
      <alignment horizontal="center" vertical="center" wrapText="1"/>
    </xf>
    <xf numFmtId="1" fontId="21" fillId="0" borderId="10" xfId="0" applyNumberFormat="1" applyFont="1" applyFill="1" applyBorder="1" applyAlignment="1" applyProtection="1">
      <alignment horizontal="center" vertical="center" wrapText="1"/>
    </xf>
    <xf numFmtId="0" fontId="12" fillId="0" borderId="0" xfId="0" applyFont="1" applyFill="1" applyAlignment="1" applyProtection="1">
      <alignment horizontal="center" vertical="center" wrapText="1"/>
    </xf>
    <xf numFmtId="0" fontId="15" fillId="0" borderId="0" xfId="5" applyFont="1" applyFill="1" applyAlignment="1" applyProtection="1">
      <alignment horizontal="center" vertical="center"/>
    </xf>
    <xf numFmtId="0" fontId="13" fillId="0" borderId="0" xfId="0" applyFont="1" applyFill="1" applyAlignment="1" applyProtection="1">
      <alignment horizontal="center" vertical="center" wrapText="1"/>
    </xf>
    <xf numFmtId="1" fontId="13" fillId="0" borderId="0" xfId="0" applyNumberFormat="1" applyFont="1" applyFill="1" applyAlignment="1" applyProtection="1">
      <alignment horizontal="center" vertical="center" wrapText="1"/>
    </xf>
    <xf numFmtId="0" fontId="11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1" fontId="0" fillId="0" borderId="0" xfId="0" applyNumberFormat="1" applyAlignment="1" applyProtection="1">
      <alignment horizontal="center" vertical="center" wrapText="1"/>
    </xf>
    <xf numFmtId="1" fontId="23" fillId="0" borderId="0" xfId="12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 wrapText="1"/>
    </xf>
    <xf numFmtId="1" fontId="9" fillId="0" borderId="0" xfId="0" applyNumberFormat="1" applyFont="1" applyAlignment="1" applyProtection="1">
      <alignment horizontal="center" vertical="center" wrapText="1"/>
    </xf>
    <xf numFmtId="2" fontId="13" fillId="0" borderId="0" xfId="0" applyNumberFormat="1" applyFont="1" applyAlignment="1" applyProtection="1">
      <alignment horizontal="center" vertical="center" wrapText="1"/>
    </xf>
    <xf numFmtId="1" fontId="13" fillId="0" borderId="0" xfId="0" applyNumberFormat="1" applyFont="1" applyAlignment="1" applyProtection="1">
      <alignment horizontal="center" vertical="center" wrapText="1"/>
    </xf>
    <xf numFmtId="166" fontId="10" fillId="0" borderId="0" xfId="0" applyNumberFormat="1" applyFont="1" applyBorder="1" applyAlignment="1" applyProtection="1">
      <alignment horizontal="center" vertical="center" wrapText="1"/>
    </xf>
    <xf numFmtId="2" fontId="14" fillId="0" borderId="0" xfId="3" applyNumberFormat="1" applyFont="1" applyAlignment="1" applyProtection="1">
      <alignment horizontal="center" vertical="center"/>
    </xf>
    <xf numFmtId="1" fontId="23" fillId="0" borderId="0" xfId="4" applyNumberFormat="1" applyFont="1" applyAlignment="1" applyProtection="1">
      <alignment horizontal="center" vertical="center"/>
    </xf>
    <xf numFmtId="168" fontId="10" fillId="0" borderId="0" xfId="0" applyNumberFormat="1" applyFont="1" applyBorder="1" applyAlignment="1" applyProtection="1">
      <alignment horizontal="center" vertical="center" wrapText="1"/>
    </xf>
    <xf numFmtId="0" fontId="20" fillId="0" borderId="6" xfId="0" applyFont="1" applyBorder="1" applyAlignment="1" applyProtection="1">
      <alignment horizontal="center" vertical="center" wrapText="1"/>
    </xf>
    <xf numFmtId="166" fontId="30" fillId="0" borderId="6" xfId="0" applyNumberFormat="1" applyFont="1" applyBorder="1" applyAlignment="1" applyProtection="1">
      <alignment horizontal="center" vertical="center" wrapText="1"/>
    </xf>
    <xf numFmtId="1" fontId="30" fillId="0" borderId="6" xfId="0" applyNumberFormat="1" applyFont="1" applyBorder="1" applyAlignment="1" applyProtection="1">
      <alignment horizontal="center" vertical="center" wrapText="1"/>
    </xf>
    <xf numFmtId="0" fontId="9" fillId="0" borderId="5" xfId="0" applyFont="1" applyBorder="1" applyProtection="1">
      <alignment wrapText="1"/>
    </xf>
    <xf numFmtId="0" fontId="32" fillId="0" borderId="6" xfId="0" applyFont="1" applyBorder="1" applyAlignment="1">
      <alignment horizontal="center" vertical="center" wrapText="1"/>
    </xf>
    <xf numFmtId="0" fontId="34" fillId="3" borderId="6" xfId="0" applyFont="1" applyFill="1" applyBorder="1" applyAlignment="1">
      <alignment horizontal="center" vertical="center" wrapText="1"/>
    </xf>
    <xf numFmtId="2" fontId="31" fillId="3" borderId="6" xfId="0" applyNumberFormat="1" applyFont="1" applyFill="1" applyBorder="1" applyAlignment="1">
      <alignment horizontal="center" vertical="center" wrapText="1"/>
    </xf>
    <xf numFmtId="1" fontId="32" fillId="3" borderId="6" xfId="0" applyNumberFormat="1" applyFont="1" applyFill="1" applyBorder="1" applyAlignment="1">
      <alignment horizontal="center" vertical="center" wrapText="1"/>
    </xf>
    <xf numFmtId="0" fontId="32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 wrapText="1"/>
    </xf>
    <xf numFmtId="0" fontId="33" fillId="4" borderId="6" xfId="0" applyFont="1" applyFill="1" applyBorder="1" applyAlignment="1">
      <alignment horizontal="center" vertical="center" wrapText="1"/>
    </xf>
    <xf numFmtId="1" fontId="31" fillId="4" borderId="6" xfId="0" applyNumberFormat="1" applyFont="1" applyFill="1" applyBorder="1" applyAlignment="1">
      <alignment horizontal="center" vertical="center" wrapText="1"/>
    </xf>
    <xf numFmtId="0" fontId="31" fillId="4" borderId="6" xfId="0" applyFont="1" applyFill="1" applyBorder="1" applyAlignment="1">
      <alignment horizontal="center" vertical="center"/>
    </xf>
    <xf numFmtId="0" fontId="32" fillId="5" borderId="6" xfId="0" applyFont="1" applyFill="1" applyBorder="1" applyAlignment="1">
      <alignment horizontal="center" vertical="center" wrapText="1"/>
    </xf>
    <xf numFmtId="0" fontId="31" fillId="0" borderId="6" xfId="0" applyFont="1" applyBorder="1" applyAlignment="1">
      <alignment horizontal="center" vertical="center"/>
    </xf>
    <xf numFmtId="0" fontId="22" fillId="0" borderId="0" xfId="2" applyFont="1" applyBorder="1" applyAlignment="1" applyProtection="1">
      <alignment horizontal="center" vertical="center" wrapText="1"/>
    </xf>
    <xf numFmtId="0" fontId="12" fillId="0" borderId="0" xfId="0" applyFont="1" applyAlignment="1" applyProtection="1">
      <alignment horizontal="center" vertical="center" wrapText="1"/>
    </xf>
    <xf numFmtId="0" fontId="12" fillId="0" borderId="0" xfId="0" applyFont="1" applyBorder="1" applyAlignment="1" applyProtection="1">
      <alignment horizontal="center" vertical="center" wrapText="1"/>
    </xf>
    <xf numFmtId="167" fontId="23" fillId="0" borderId="0" xfId="13" applyNumberFormat="1" applyFont="1" applyAlignment="1" applyProtection="1">
      <alignment horizontal="center" vertical="center"/>
    </xf>
    <xf numFmtId="0" fontId="14" fillId="0" borderId="0" xfId="4" applyFont="1" applyAlignment="1" applyProtection="1">
      <alignment horizontal="center" vertical="center" wrapText="1"/>
    </xf>
    <xf numFmtId="1" fontId="14" fillId="0" borderId="0" xfId="11" applyNumberFormat="1" applyFont="1" applyAlignment="1" applyProtection="1">
      <alignment horizontal="center" vertical="center" wrapText="1"/>
    </xf>
    <xf numFmtId="2" fontId="12" fillId="0" borderId="0" xfId="0" applyNumberFormat="1" applyFont="1" applyAlignment="1" applyProtection="1">
      <alignment horizontal="center" vertical="center" wrapText="1"/>
    </xf>
    <xf numFmtId="1" fontId="13" fillId="0" borderId="0" xfId="0" applyNumberFormat="1" applyFont="1" applyBorder="1" applyAlignment="1" applyProtection="1">
      <alignment horizontal="center" vertical="center" wrapText="1"/>
    </xf>
    <xf numFmtId="0" fontId="10" fillId="0" borderId="6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</cellXfs>
  <cellStyles count="18">
    <cellStyle name="20% - Accent2" xfId="10" builtinId="34" customBuiltin="1"/>
    <cellStyle name="Comma" xfId="7" builtinId="3" customBuiltin="1"/>
    <cellStyle name="Currency" xfId="8" builtinId="4" customBuiltin="1"/>
    <cellStyle name="Date" xfId="13" xr:uid="{00000000-0005-0000-0000-000003000000}"/>
    <cellStyle name="Explanatory Text" xfId="5" builtinId="53" customBuiltin="1"/>
    <cellStyle name="Followed Hyperlink" xfId="15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6" builtinId="19" customBuiltin="1"/>
    <cellStyle name="Hyperlink" xfId="14" builtinId="8" customBuiltin="1"/>
    <cellStyle name="Input" xfId="9" builtinId="20" customBuiltin="1"/>
    <cellStyle name="Invoice Company Phone" xfId="11" xr:uid="{00000000-0005-0000-0000-00000C000000}"/>
    <cellStyle name="Left Indent" xfId="12" xr:uid="{00000000-0005-0000-0000-00000D000000}"/>
    <cellStyle name="Normal" xfId="0" builtinId="0" customBuiltin="1"/>
    <cellStyle name="Phone" xfId="16" xr:uid="{00000000-0005-0000-0000-00000F000000}"/>
    <cellStyle name="Ship Phone" xfId="17" xr:uid="{00000000-0005-0000-0000-000010000000}"/>
    <cellStyle name="Title" xfId="1" builtinId="15" customBuiltin="1"/>
  </cellStyles>
  <dxfs count="15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5" tint="-0.249977111117893"/>
        <name val="Calibri"/>
        <family val="2"/>
        <scheme val="minor"/>
      </font>
      <numFmt numFmtId="166" formatCode="&quot;₹&quot;\ 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5" tint="-0.249977111117893"/>
        <name val="Calibri"/>
        <family val="2"/>
        <scheme val="minor"/>
      </font>
      <numFmt numFmtId="166" formatCode="&quot;₹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5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5" tint="-0.249977111117893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5" tint="-0.2499465926084170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5" tint="-0.2499465926084170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indent="0" justifyLastLine="0" shrinkToFit="0" readingOrder="0"/>
      <protection locked="1" hidden="0"/>
    </dxf>
  </dxfs>
  <tableStyles count="1" defaultTableStyle="TableStyleLight3" defaultPivotStyle="PivotStyleLight16">
    <tableStyle name="Table Style 1" pivot="0" count="0" xr9:uid="{CDDCEA77-24CA-4AF3-A6BF-709FA4B594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7</xdr:row>
          <xdr:rowOff>266700</xdr:rowOff>
        </xdr:from>
        <xdr:to>
          <xdr:col>7</xdr:col>
          <xdr:colOff>655320</xdr:colOff>
          <xdr:row>9</xdr:row>
          <xdr:rowOff>182880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84347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11</xdr:row>
          <xdr:rowOff>266700</xdr:rowOff>
        </xdr:from>
        <xdr:to>
          <xdr:col>7</xdr:col>
          <xdr:colOff>678180</xdr:colOff>
          <xdr:row>13</xdr:row>
          <xdr:rowOff>205740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84347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9</xdr:row>
          <xdr:rowOff>281940</xdr:rowOff>
        </xdr:from>
        <xdr:to>
          <xdr:col>7</xdr:col>
          <xdr:colOff>655320</xdr:colOff>
          <xdr:row>11</xdr:row>
          <xdr:rowOff>190500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84347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</xdr:row>
          <xdr:rowOff>160020</xdr:rowOff>
        </xdr:from>
        <xdr:to>
          <xdr:col>3</xdr:col>
          <xdr:colOff>114300</xdr:colOff>
          <xdr:row>4</xdr:row>
          <xdr:rowOff>129540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84347"/>
                  </a:solidFill>
                  <a:latin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oice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Tracker"/>
      <sheetName val="ItemInvoiceTracker"/>
      <sheetName val="Data"/>
      <sheetName val="Carry"/>
      <sheetName val="CancelledBill-Invoice"/>
      <sheetName val="CancelledBill-Item"/>
      <sheetName val="Next"/>
      <sheetName val="Lookup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>
            <v>1</v>
          </cell>
        </row>
      </sheetData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37F086-C50E-4049-ACBD-C8ECBA90F992}" name="Bill" displayName="Bill" ref="A8:F16" headerRowDxfId="14" dataDxfId="13" totalsRowDxfId="12">
  <autoFilter ref="A8:F16" xr:uid="{F337F086-C50E-4049-ACBD-C8ECBA90F9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71EAEC14-681A-4F21-850C-FFE98CF1D6BD}" name="RATE" totalsRowLabel="Total" dataDxfId="11" totalsRowDxfId="10">
      <calculatedColumnFormula>IFERROR(VLOOKUP(B9,Lookup!B:D,2,FALSE),0)</calculatedColumnFormula>
    </tableColumn>
    <tableColumn id="2" xr3:uid="{4DD4FC17-4E77-44C4-80FB-43BC3F34973E}" name="CNO" dataDxfId="9" totalsRowDxfId="8"/>
    <tableColumn id="3" xr3:uid="{E12145F8-2653-414B-9B01-8840E0B3E89D}" name="QTY" dataDxfId="7" totalsRowDxfId="6"/>
    <tableColumn id="4" xr3:uid="{B619E1DF-A0A9-42A7-B091-3C8C36DE652B}" name="SP" dataDxfId="5" totalsRowDxfId="4" dataCellStyle="Currency">
      <calculatedColumnFormula>IFERROR(VLOOKUP(B9,Lookup!B:D,3,FALSE),0)</calculatedColumnFormula>
    </tableColumn>
    <tableColumn id="5" xr3:uid="{8C97E73B-4A30-4BEE-99DE-740E782535A0}" name="TAX" dataDxfId="3" totalsRowDxfId="2" dataCellStyle="Currency">
      <calculatedColumnFormula>(D9*(5/100))*C9</calculatedColumnFormula>
    </tableColumn>
    <tableColumn id="6" xr3:uid="{6DF06B28-38EE-4BA8-9BF2-341E4A3B566B}" name="TOTAL" totalsRowFunction="sum" dataDxfId="1" totalsRowDxfId="0" dataCellStyle="Currency">
      <calculatedColumnFormula>ROUNDUP(SUM(D9*C9,E9),0)</calculatedColumnFormula>
    </tableColumn>
  </tableColumns>
  <tableStyleInfo name="TableStyleLight3" showFirstColumn="0" showLastColumn="0" showRowStripes="0" showColumnStripes="0"/>
</table>
</file>

<file path=xl/theme/theme1.xml><?xml version="1.0" encoding="utf-8"?>
<a:theme xmlns:a="http://schemas.openxmlformats.org/drawingml/2006/main" name="TravelExpenseReport">
  <a:themeElements>
    <a:clrScheme name="Finance charge">
      <a:dk1>
        <a:srgbClr val="2E2224"/>
      </a:dk1>
      <a:lt1>
        <a:srgbClr val="FFFFFF"/>
      </a:lt1>
      <a:dk2>
        <a:srgbClr val="2E2224"/>
      </a:dk2>
      <a:lt2>
        <a:srgbClr val="FFFFFF"/>
      </a:lt2>
      <a:accent1>
        <a:srgbClr val="533D36"/>
      </a:accent1>
      <a:accent2>
        <a:srgbClr val="4B5A60"/>
      </a:accent2>
      <a:accent3>
        <a:srgbClr val="9C5238"/>
      </a:accent3>
      <a:accent4>
        <a:srgbClr val="C1AD79"/>
      </a:accent4>
      <a:accent5>
        <a:srgbClr val="667559"/>
      </a:accent5>
      <a:accent6>
        <a:srgbClr val="604965"/>
      </a:accent6>
      <a:hlink>
        <a:srgbClr val="4B5A60"/>
      </a:hlink>
      <a:folHlink>
        <a:srgbClr val="604965"/>
      </a:folHlink>
    </a:clrScheme>
    <a:fontScheme name="Finance charge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fitToPage="1"/>
  </sheetPr>
  <dimension ref="A1:AO21"/>
  <sheetViews>
    <sheetView tabSelected="1" topLeftCell="S1" zoomScale="85" zoomScaleNormal="85" workbookViewId="0">
      <selection activeCell="N4" sqref="N4"/>
    </sheetView>
  </sheetViews>
  <sheetFormatPr defaultRowHeight="30" customHeight="1" x14ac:dyDescent="0.3"/>
  <cols>
    <col min="1" max="1" width="8.5546875" style="8" customWidth="1"/>
    <col min="2" max="2" width="8.44140625" style="3" customWidth="1"/>
    <col min="3" max="3" width="7.44140625" style="9" customWidth="1"/>
    <col min="4" max="4" width="7.5546875" style="10" customWidth="1"/>
    <col min="5" max="5" width="9.88671875" style="10" customWidth="1"/>
    <col min="6" max="6" width="19.33203125" style="11" customWidth="1"/>
    <col min="7" max="7" width="9.109375" style="1"/>
    <col min="8" max="8" width="11.88671875" style="1" customWidth="1"/>
    <col min="9" max="13" width="8.88671875" style="1"/>
    <col min="14" max="14" width="25.5546875" style="1" customWidth="1"/>
    <col min="15" max="16384" width="8.88671875" style="1"/>
  </cols>
  <sheetData>
    <row r="1" spans="1:41" ht="38.4" customHeight="1" x14ac:dyDescent="0.3">
      <c r="A1" s="70" t="s">
        <v>1390</v>
      </c>
      <c r="B1" s="70"/>
      <c r="C1" s="70"/>
      <c r="D1" s="70"/>
      <c r="E1" s="70"/>
      <c r="F1" s="70"/>
      <c r="AN1" s="44">
        <f>COUNTA(Bill[CNO])</f>
        <v>0</v>
      </c>
      <c r="AO1" s="44">
        <f>COUNTBLANK(Bill[CNO])</f>
        <v>8</v>
      </c>
    </row>
    <row r="2" spans="1:41" ht="24" customHeight="1" x14ac:dyDescent="0.3">
      <c r="A2" s="74" t="s">
        <v>1</v>
      </c>
      <c r="B2" s="74"/>
      <c r="C2" s="74"/>
      <c r="D2" s="76" t="s">
        <v>0</v>
      </c>
      <c r="E2" s="76"/>
      <c r="F2" s="76"/>
      <c r="AN2" s="79" t="s">
        <v>1394</v>
      </c>
      <c r="AO2" s="79"/>
    </row>
    <row r="3" spans="1:41" ht="21" customHeight="1" x14ac:dyDescent="0.3">
      <c r="A3" s="74" t="s">
        <v>1391</v>
      </c>
      <c r="B3" s="74"/>
      <c r="C3" s="74"/>
      <c r="D3" s="52" t="s">
        <v>2</v>
      </c>
      <c r="E3" s="53">
        <f>[1]Next!$A$2</f>
        <v>1</v>
      </c>
      <c r="F3" s="54">
        <f ca="1">NOW()</f>
        <v>44732.552742708336</v>
      </c>
      <c r="AN3" s="79"/>
      <c r="AO3" s="79"/>
    </row>
    <row r="4" spans="1:41" ht="15" customHeight="1" x14ac:dyDescent="0.3">
      <c r="A4" s="75" t="s">
        <v>1392</v>
      </c>
      <c r="B4" s="75"/>
      <c r="C4" s="75"/>
      <c r="D4" s="52" t="s">
        <v>3</v>
      </c>
      <c r="E4" s="73">
        <f ca="1">TODAY()</f>
        <v>44732</v>
      </c>
      <c r="F4" s="73"/>
    </row>
    <row r="5" spans="1:41" ht="20.25" customHeight="1" x14ac:dyDescent="0.3">
      <c r="A5" s="43"/>
      <c r="B5" s="44"/>
      <c r="C5" s="45"/>
      <c r="D5" s="49" t="s">
        <v>1386</v>
      </c>
      <c r="E5" s="6" t="s">
        <v>14</v>
      </c>
      <c r="F5" s="15"/>
    </row>
    <row r="6" spans="1:41" ht="15.75" customHeight="1" x14ac:dyDescent="0.3">
      <c r="A6" s="71" t="s">
        <v>1393</v>
      </c>
      <c r="B6" s="71"/>
      <c r="C6" s="71"/>
      <c r="D6" s="72"/>
      <c r="E6" s="77"/>
      <c r="F6" s="77"/>
      <c r="G6" s="1" t="s">
        <v>1077</v>
      </c>
      <c r="H6" s="4"/>
    </row>
    <row r="7" spans="1:41" ht="15.75" customHeight="1" x14ac:dyDescent="0.3">
      <c r="A7" s="46"/>
      <c r="B7" s="47"/>
      <c r="C7" s="48"/>
      <c r="D7" s="49"/>
      <c r="E7" s="50"/>
      <c r="F7" s="51"/>
      <c r="H7" s="4"/>
      <c r="N7" s="55" t="s">
        <v>1387</v>
      </c>
    </row>
    <row r="8" spans="1:41" ht="27.75" customHeight="1" x14ac:dyDescent="0.3">
      <c r="A8" s="22" t="s">
        <v>685</v>
      </c>
      <c r="B8" s="23" t="s">
        <v>5</v>
      </c>
      <c r="C8" s="24" t="s">
        <v>1324</v>
      </c>
      <c r="D8" s="25" t="s">
        <v>684</v>
      </c>
      <c r="E8" s="26" t="s">
        <v>6</v>
      </c>
      <c r="F8" s="27" t="s">
        <v>7</v>
      </c>
      <c r="N8" s="56">
        <f>F19</f>
        <v>0</v>
      </c>
    </row>
    <row r="9" spans="1:41" ht="27.75" customHeight="1" x14ac:dyDescent="0.3">
      <c r="A9" s="14">
        <f>IFERROR(VLOOKUP(B9,Lookup!B:D,2,FALSE),0)</f>
        <v>0</v>
      </c>
      <c r="B9" s="18"/>
      <c r="C9" s="19"/>
      <c r="D9" s="28">
        <f>IFERROR(VLOOKUP(B9,Lookup!B:D,3,FALSE),0)</f>
        <v>0</v>
      </c>
      <c r="E9" s="28">
        <f t="shared" ref="E9:E15" si="0">(D9*(5/100))*C9</f>
        <v>0</v>
      </c>
      <c r="F9" s="29">
        <f t="shared" ref="F9:F15" si="1">ROUNDUP(SUM(D9*C9,E9),0)</f>
        <v>0</v>
      </c>
      <c r="N9" s="56" t="s">
        <v>1388</v>
      </c>
    </row>
    <row r="10" spans="1:41" ht="27.75" customHeight="1" x14ac:dyDescent="0.3">
      <c r="A10" s="14">
        <f>IFERROR(VLOOKUP(B10,Lookup!B:D,2,FALSE),0)</f>
        <v>0</v>
      </c>
      <c r="B10" s="18"/>
      <c r="C10" s="19"/>
      <c r="D10" s="28">
        <f>IFERROR(VLOOKUP(B10,Lookup!B:D,3,FALSE),0)</f>
        <v>0</v>
      </c>
      <c r="E10" s="28">
        <f t="shared" si="0"/>
        <v>0</v>
      </c>
      <c r="F10" s="29">
        <f t="shared" si="1"/>
        <v>0</v>
      </c>
      <c r="N10" s="17">
        <v>0</v>
      </c>
    </row>
    <row r="11" spans="1:41" ht="27.75" customHeight="1" x14ac:dyDescent="0.3">
      <c r="A11" s="14">
        <f>IFERROR(VLOOKUP(B11,Lookup!B:D,2,FALSE),0)</f>
        <v>0</v>
      </c>
      <c r="B11" s="18"/>
      <c r="C11" s="19"/>
      <c r="D11" s="28">
        <f>IFERROR(VLOOKUP(B11,Lookup!B:D,3,FALSE),0)</f>
        <v>0</v>
      </c>
      <c r="E11" s="28">
        <f t="shared" si="0"/>
        <v>0</v>
      </c>
      <c r="F11" s="29">
        <f t="shared" si="1"/>
        <v>0</v>
      </c>
      <c r="N11" s="56" t="s">
        <v>1389</v>
      </c>
    </row>
    <row r="12" spans="1:41" ht="27.75" customHeight="1" x14ac:dyDescent="0.3">
      <c r="A12" s="14">
        <f>IFERROR(VLOOKUP(B12,Lookup!B:D,2,FALSE),0)</f>
        <v>0</v>
      </c>
      <c r="B12" s="18"/>
      <c r="C12" s="19"/>
      <c r="D12" s="28">
        <f>IFERROR(VLOOKUP(B12,Lookup!B:D,3,FALSE),0)</f>
        <v>0</v>
      </c>
      <c r="E12" s="28">
        <f t="shared" si="0"/>
        <v>0</v>
      </c>
      <c r="F12" s="29">
        <f t="shared" si="1"/>
        <v>0</v>
      </c>
      <c r="N12" s="57">
        <f>Quantity</f>
        <v>0</v>
      </c>
    </row>
    <row r="13" spans="1:41" ht="27.75" customHeight="1" x14ac:dyDescent="0.3">
      <c r="A13" s="14">
        <f>IFERROR(VLOOKUP(B13,Lookup!B:D,2,FALSE),0)</f>
        <v>0</v>
      </c>
      <c r="B13" s="18"/>
      <c r="C13" s="19"/>
      <c r="D13" s="28">
        <f>IFERROR(VLOOKUP(B13,Lookup!B:D,3,FALSE),0)</f>
        <v>0</v>
      </c>
      <c r="E13" s="28">
        <f t="shared" si="0"/>
        <v>0</v>
      </c>
      <c r="F13" s="29">
        <f t="shared" si="1"/>
        <v>0</v>
      </c>
      <c r="N13" s="20"/>
    </row>
    <row r="14" spans="1:41" ht="27.75" customHeight="1" x14ac:dyDescent="0.3">
      <c r="A14" s="14">
        <f>IFERROR(VLOOKUP(B14,Lookup!B:D,2,FALSE),0)</f>
        <v>0</v>
      </c>
      <c r="B14" s="18"/>
      <c r="C14" s="19"/>
      <c r="D14" s="28">
        <f>IFERROR(VLOOKUP(B14,Lookup!B:D,3,FALSE),0)</f>
        <v>0</v>
      </c>
      <c r="E14" s="28">
        <f t="shared" si="0"/>
        <v>0</v>
      </c>
      <c r="F14" s="29">
        <f t="shared" si="1"/>
        <v>0</v>
      </c>
      <c r="N14" s="20"/>
    </row>
    <row r="15" spans="1:41" ht="27.75" customHeight="1" x14ac:dyDescent="0.3">
      <c r="A15" s="14">
        <f>IFERROR(VLOOKUP(B15,Lookup!B:D,2,FALSE),0)</f>
        <v>0</v>
      </c>
      <c r="B15" s="18"/>
      <c r="C15" s="19"/>
      <c r="D15" s="28">
        <f>IFERROR(VLOOKUP(B15,Lookup!B:D,3,FALSE),0)</f>
        <v>0</v>
      </c>
      <c r="E15" s="28">
        <f t="shared" si="0"/>
        <v>0</v>
      </c>
      <c r="F15" s="29">
        <f t="shared" si="1"/>
        <v>0</v>
      </c>
      <c r="N15" s="20"/>
    </row>
    <row r="16" spans="1:41" ht="27.75" customHeight="1" x14ac:dyDescent="0.3">
      <c r="A16" s="14">
        <f>IFERROR(VLOOKUP(B16,Lookup!B:D,2,FALSE),0)</f>
        <v>0</v>
      </c>
      <c r="B16" s="18"/>
      <c r="C16" s="19"/>
      <c r="D16" s="28">
        <f>IFERROR(VLOOKUP(B16,Lookup!B:D,3,FALSE),0)</f>
        <v>0</v>
      </c>
      <c r="E16" s="28">
        <f>(D16*(5/100))*C16</f>
        <v>0</v>
      </c>
      <c r="F16" s="29">
        <f>ROUNDUP(SUM(D16*C16,E16),0)</f>
        <v>0</v>
      </c>
      <c r="N16" s="20"/>
    </row>
    <row r="17" spans="1:8" ht="24.6" customHeight="1" x14ac:dyDescent="0.35">
      <c r="A17" s="36"/>
      <c r="B17" s="37"/>
      <c r="C17" s="38">
        <f>SUM(Bill[QTY])</f>
        <v>0</v>
      </c>
      <c r="D17" s="30"/>
      <c r="E17" s="30"/>
      <c r="F17" s="31">
        <f>SUM(Bill[TOTAL])</f>
        <v>0</v>
      </c>
      <c r="H17" s="5"/>
    </row>
    <row r="18" spans="1:8" ht="18" customHeight="1" x14ac:dyDescent="0.3">
      <c r="A18" s="39"/>
      <c r="B18" s="40"/>
      <c r="C18" s="40"/>
      <c r="D18" s="32"/>
      <c r="E18" s="32"/>
      <c r="F18" s="33">
        <f>N10</f>
        <v>0</v>
      </c>
    </row>
    <row r="19" spans="1:8" ht="30" customHeight="1" x14ac:dyDescent="0.3">
      <c r="A19" s="39"/>
      <c r="B19" s="41"/>
      <c r="C19" s="42"/>
      <c r="D19" s="34"/>
      <c r="E19" s="35"/>
      <c r="F19" s="33">
        <f>Total-Discount</f>
        <v>0</v>
      </c>
    </row>
    <row r="20" spans="1:8" ht="22.5" customHeight="1" x14ac:dyDescent="0.3">
      <c r="A20" s="16"/>
      <c r="B20" s="2"/>
      <c r="C20" s="12"/>
      <c r="D20" s="13"/>
      <c r="E20" s="13"/>
      <c r="F20" s="7"/>
    </row>
    <row r="21" spans="1:8" ht="30" customHeight="1" x14ac:dyDescent="0.3">
      <c r="B21" s="2"/>
      <c r="C21" s="12"/>
      <c r="D21" s="13"/>
      <c r="E21" s="13"/>
      <c r="F21" s="7"/>
    </row>
  </sheetData>
  <sheetProtection sheet="1" objects="1" scenarios="1"/>
  <mergeCells count="9">
    <mergeCell ref="AN2:AO3"/>
    <mergeCell ref="A1:F1"/>
    <mergeCell ref="A6:D6"/>
    <mergeCell ref="E4:F4"/>
    <mergeCell ref="A2:C2"/>
    <mergeCell ref="A3:C3"/>
    <mergeCell ref="A4:C4"/>
    <mergeCell ref="D2:F2"/>
    <mergeCell ref="E6:F6"/>
  </mergeCells>
  <phoneticPr fontId="0" type="noConversion"/>
  <dataValidations xWindow="102" yWindow="285" count="15">
    <dataValidation allowBlank="1" showInputMessage="1" showErrorMessage="1" prompt="Enter invoice Date in cell at right" sqref="D4:E4" xr:uid="{00000000-0002-0000-0000-000000000000}"/>
    <dataValidation allowBlank="1" showInputMessage="1" showErrorMessage="1" prompt="Enter invoice Date in this cell" sqref="E4" xr:uid="{00000000-0002-0000-0000-000001000000}"/>
    <dataValidation allowBlank="1" showInputMessage="1" showErrorMessage="1" prompt="Enter Invoice Number in this cell" sqref="E3" xr:uid="{00000000-0002-0000-0000-000002000000}"/>
    <dataValidation allowBlank="1" showInputMessage="1" showErrorMessage="1" prompt="Enter Invoice Number in cell at right" sqref="D3:E3" xr:uid="{00000000-0002-0000-0000-000003000000}"/>
    <dataValidation type="list" allowBlank="1" showInputMessage="1" showErrorMessage="1" prompt="Enter Customer ID in this cell" sqref="E5" xr:uid="{00000000-0002-0000-0000-000004000000}">
      <formula1>Payment</formula1>
    </dataValidation>
    <dataValidation allowBlank="1" showInputMessage="1" showErrorMessage="1" prompt="Enter invoice Description in this column under this heading. Use heading filters to find specific entries" sqref="B8:B16" xr:uid="{00000000-0002-0000-0000-000005000000}"/>
    <dataValidation allowBlank="1" showInputMessage="1" showErrorMessage="1" prompt="Enter Amount in this column under this heading" sqref="D8:E16" xr:uid="{00000000-0002-0000-0000-000006000000}"/>
    <dataValidation allowBlank="1" showInputMessage="1" showErrorMessage="1" prompt="Total amount is automatically updated in this column under this heading. The last cell of the table contains the Total Due amount" sqref="F8:F16" xr:uid="{00000000-0002-0000-0000-000007000000}"/>
    <dataValidation allowBlank="1" showInputMessage="1" showErrorMessage="1" prompt="Enter Quantity in this column under this heading" sqref="C8:C16" xr:uid="{00000000-0002-0000-0000-000008000000}"/>
    <dataValidation type="list" allowBlank="1" showInputMessage="1" showErrorMessage="1" prompt="Enter Customer ID in cell at right" sqref="E5" xr:uid="{00000000-0002-0000-0000-000009000000}">
      <formula1>"Payment"</formula1>
    </dataValidation>
    <dataValidation allowBlank="1" showInputMessage="1" showErrorMessage="1" prompt="Enter invoicing company Phone and Fax numbers within the brackets in this cell" sqref="A4" xr:uid="{00000000-0002-0000-0000-00000A000000}"/>
    <dataValidation allowBlank="1" showInputMessage="1" showErrorMessage="1" prompt="Enter invoice Company Name, Street Address, City, State, Zip Code, and Phone number in cells below" sqref="A1" xr:uid="{00000000-0002-0000-0000-00000B000000}"/>
    <dataValidation allowBlank="1" showInputMessage="1" showErrorMessage="1" prompt="Enter invoicing company Street Address in this cell" sqref="A2" xr:uid="{00000000-0002-0000-0000-00000C000000}"/>
    <dataValidation allowBlank="1" showInputMessage="1" showErrorMessage="1" prompt="Enter invoicing company City, State, and Zip Code in this cell" sqref="A3" xr:uid="{00000000-0002-0000-0000-00000D000000}"/>
    <dataValidation allowBlank="1" showInputMessage="1" showErrorMessage="1" prompt="Enter customer Name in this cell" sqref="A7" xr:uid="{00000000-0002-0000-0000-00000E000000}"/>
  </dataValidations>
  <pageMargins left="0" right="0" top="0" bottom="0" header="0" footer="0"/>
  <pageSetup paperSize="122" fitToHeight="0" pageOrder="overThenDown" orientation="portrait" horizontalDpi="90" verticalDpi="90" r:id="rId1"/>
  <headerFooter differentFirst="1">
    <oddFooter>Page &amp;P of &amp;N</oddFooter>
  </headerFooter>
  <ignoredErrors>
    <ignoredError sqref="E3:F3 E4 F18:F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AddToItemInvoiceData">
                <anchor moveWithCells="1" sizeWithCells="1">
                  <from>
                    <xdr:col>6</xdr:col>
                    <xdr:colOff>160020</xdr:colOff>
                    <xdr:row>7</xdr:row>
                    <xdr:rowOff>266700</xdr:rowOff>
                  </from>
                  <to>
                    <xdr:col>7</xdr:col>
                    <xdr:colOff>655320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Delete">
                <anchor moveWithCells="1" sizeWithCells="1">
                  <from>
                    <xdr:col>6</xdr:col>
                    <xdr:colOff>144780</xdr:colOff>
                    <xdr:row>11</xdr:row>
                    <xdr:rowOff>266700</xdr:rowOff>
                  </from>
                  <to>
                    <xdr:col>7</xdr:col>
                    <xdr:colOff>678180</xdr:colOff>
                    <xdr:row>13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_xludf.Insert">
                <anchor moveWithCells="1" sizeWithCells="1">
                  <from>
                    <xdr:col>6</xdr:col>
                    <xdr:colOff>160020</xdr:colOff>
                    <xdr:row>9</xdr:row>
                    <xdr:rowOff>281940</xdr:rowOff>
                  </from>
                  <to>
                    <xdr:col>7</xdr:col>
                    <xdr:colOff>655320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5"/>
  <sheetViews>
    <sheetView zoomScaleNormal="100" workbookViewId="0">
      <selection activeCell="C19" sqref="C19"/>
    </sheetView>
  </sheetViews>
  <sheetFormatPr defaultRowHeight="14.4" x14ac:dyDescent="0.3"/>
  <cols>
    <col min="1" max="16384" width="8.88671875" style="1"/>
  </cols>
  <sheetData>
    <row r="1" spans="1:5" ht="28.95" customHeight="1" x14ac:dyDescent="0.3">
      <c r="A1" s="78" t="s">
        <v>8</v>
      </c>
      <c r="B1" s="78"/>
    </row>
    <row r="2" spans="1:5" x14ac:dyDescent="0.3">
      <c r="A2" s="58" t="s">
        <v>9</v>
      </c>
      <c r="B2" s="21"/>
      <c r="C2" s="21"/>
      <c r="D2" s="21"/>
      <c r="E2" s="21"/>
    </row>
    <row r="3" spans="1:5" x14ac:dyDescent="0.3">
      <c r="A3" s="1">
        <v>1</v>
      </c>
      <c r="B3" s="21"/>
      <c r="C3" s="21"/>
      <c r="D3" s="21"/>
      <c r="E3" s="21"/>
    </row>
    <row r="4" spans="1:5" x14ac:dyDescent="0.3">
      <c r="B4" s="21"/>
      <c r="C4" s="21"/>
      <c r="D4" s="21"/>
      <c r="E4" s="21"/>
    </row>
    <row r="5" spans="1:5" x14ac:dyDescent="0.3">
      <c r="B5" s="21"/>
      <c r="C5" s="21"/>
      <c r="D5" s="21"/>
      <c r="E5" s="21"/>
    </row>
  </sheetData>
  <sheetProtection sheet="1" objects="1" scenarios="1"/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ancel">
                <anchor moveWithCells="1" sizeWithCells="1">
                  <from>
                    <xdr:col>1</xdr:col>
                    <xdr:colOff>114300</xdr:colOff>
                    <xdr:row>1</xdr:row>
                    <xdr:rowOff>160020</xdr:rowOff>
                  </from>
                  <to>
                    <xdr:col>3</xdr:col>
                    <xdr:colOff>114300</xdr:colOff>
                    <xdr:row>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517"/>
  <sheetViews>
    <sheetView zoomScaleNormal="100" workbookViewId="0">
      <selection activeCell="D2" sqref="D2"/>
    </sheetView>
  </sheetViews>
  <sheetFormatPr defaultRowHeight="14.4" x14ac:dyDescent="0.3"/>
  <cols>
    <col min="1" max="1" width="17.33203125" style="59" customWidth="1"/>
    <col min="2" max="3" width="9.109375" style="64"/>
    <col min="4" max="4" width="13.33203125" style="62" customWidth="1"/>
  </cols>
  <sheetData>
    <row r="1" spans="1:4" ht="15" customHeight="1" x14ac:dyDescent="0.3">
      <c r="A1" s="67" t="s">
        <v>10</v>
      </c>
      <c r="B1" s="65" t="s">
        <v>11</v>
      </c>
      <c r="C1" s="65" t="s">
        <v>12</v>
      </c>
      <c r="D1" s="66" t="s">
        <v>13</v>
      </c>
    </row>
    <row r="2" spans="1:4" ht="15" customHeight="1" x14ac:dyDescent="0.3">
      <c r="A2" s="68" t="s">
        <v>4</v>
      </c>
      <c r="B2" s="60" t="s">
        <v>777</v>
      </c>
      <c r="C2" s="60">
        <v>30</v>
      </c>
      <c r="D2" s="61">
        <v>28.56</v>
      </c>
    </row>
    <row r="3" spans="1:4" ht="15" customHeight="1" x14ac:dyDescent="0.3">
      <c r="A3" s="68" t="s">
        <v>14</v>
      </c>
      <c r="B3" s="60" t="s">
        <v>778</v>
      </c>
      <c r="C3" s="60">
        <v>50</v>
      </c>
      <c r="D3" s="61">
        <v>47.5</v>
      </c>
    </row>
    <row r="4" spans="1:4" ht="15" customHeight="1" x14ac:dyDescent="0.3">
      <c r="A4" s="68" t="s">
        <v>15</v>
      </c>
      <c r="B4" s="60" t="s">
        <v>779</v>
      </c>
      <c r="C4" s="60">
        <v>60</v>
      </c>
      <c r="D4" s="61">
        <v>57.13</v>
      </c>
    </row>
    <row r="5" spans="1:4" ht="15" customHeight="1" x14ac:dyDescent="0.3">
      <c r="A5" s="68" t="s">
        <v>16</v>
      </c>
      <c r="B5" s="60" t="s">
        <v>780</v>
      </c>
      <c r="C5" s="60">
        <v>200</v>
      </c>
      <c r="D5" s="61">
        <v>190</v>
      </c>
    </row>
    <row r="6" spans="1:4" ht="15" customHeight="1" x14ac:dyDescent="0.3">
      <c r="A6" s="68" t="s">
        <v>17</v>
      </c>
      <c r="B6" s="60" t="s">
        <v>781</v>
      </c>
      <c r="C6" s="60">
        <v>50</v>
      </c>
      <c r="D6" s="61">
        <v>47.5</v>
      </c>
    </row>
    <row r="7" spans="1:4" ht="15" customHeight="1" x14ac:dyDescent="0.3">
      <c r="A7" s="69"/>
      <c r="B7" s="60" t="s">
        <v>1075</v>
      </c>
      <c r="C7" s="60">
        <v>60</v>
      </c>
      <c r="D7" s="61">
        <v>57</v>
      </c>
    </row>
    <row r="8" spans="1:4" ht="15" customHeight="1" x14ac:dyDescent="0.3">
      <c r="A8" s="69"/>
      <c r="B8" s="60" t="s">
        <v>1322</v>
      </c>
      <c r="C8" s="60">
        <v>10</v>
      </c>
      <c r="D8" s="61">
        <v>9.5</v>
      </c>
    </row>
    <row r="9" spans="1:4" ht="15" customHeight="1" x14ac:dyDescent="0.3">
      <c r="A9" s="69"/>
      <c r="B9" s="60" t="s">
        <v>1323</v>
      </c>
      <c r="C9" s="60">
        <v>20</v>
      </c>
      <c r="D9" s="61">
        <v>19</v>
      </c>
    </row>
    <row r="10" spans="1:4" ht="15" customHeight="1" x14ac:dyDescent="0.3">
      <c r="B10" s="60">
        <v>1</v>
      </c>
      <c r="C10" s="60">
        <v>99</v>
      </c>
      <c r="D10" s="62">
        <v>94</v>
      </c>
    </row>
    <row r="11" spans="1:4" x14ac:dyDescent="0.3">
      <c r="B11" s="60">
        <v>2</v>
      </c>
      <c r="C11" s="60">
        <v>129</v>
      </c>
      <c r="D11" s="62">
        <f t="shared" ref="D11:D41" si="0">C11</f>
        <v>129</v>
      </c>
    </row>
    <row r="12" spans="1:4" x14ac:dyDescent="0.3">
      <c r="B12" s="60">
        <v>3</v>
      </c>
      <c r="C12" s="60">
        <v>139</v>
      </c>
      <c r="D12" s="62">
        <f t="shared" si="0"/>
        <v>139</v>
      </c>
    </row>
    <row r="13" spans="1:4" x14ac:dyDescent="0.3">
      <c r="B13" s="60">
        <v>4</v>
      </c>
      <c r="C13" s="60">
        <v>149</v>
      </c>
      <c r="D13" s="62">
        <f t="shared" si="0"/>
        <v>149</v>
      </c>
    </row>
    <row r="14" spans="1:4" x14ac:dyDescent="0.3">
      <c r="B14" s="60">
        <v>5</v>
      </c>
      <c r="C14" s="60">
        <v>159</v>
      </c>
      <c r="D14" s="62">
        <f t="shared" si="0"/>
        <v>159</v>
      </c>
    </row>
    <row r="15" spans="1:4" x14ac:dyDescent="0.3">
      <c r="B15" s="60">
        <v>6</v>
      </c>
      <c r="C15" s="60">
        <v>169</v>
      </c>
      <c r="D15" s="62">
        <f t="shared" si="0"/>
        <v>169</v>
      </c>
    </row>
    <row r="16" spans="1:4" x14ac:dyDescent="0.3">
      <c r="B16" s="60">
        <v>7</v>
      </c>
      <c r="C16" s="60">
        <v>179</v>
      </c>
      <c r="D16" s="62">
        <f t="shared" si="0"/>
        <v>179</v>
      </c>
    </row>
    <row r="17" spans="2:4" x14ac:dyDescent="0.3">
      <c r="B17" s="60">
        <v>8</v>
      </c>
      <c r="C17" s="60">
        <v>189</v>
      </c>
      <c r="D17" s="62">
        <f t="shared" si="0"/>
        <v>189</v>
      </c>
    </row>
    <row r="18" spans="2:4" x14ac:dyDescent="0.3">
      <c r="B18" s="60">
        <v>9</v>
      </c>
      <c r="C18" s="60">
        <v>199</v>
      </c>
      <c r="D18" s="62">
        <f t="shared" si="0"/>
        <v>199</v>
      </c>
    </row>
    <row r="19" spans="2:4" x14ac:dyDescent="0.3">
      <c r="B19" s="60">
        <v>10</v>
      </c>
      <c r="C19" s="60">
        <v>209</v>
      </c>
      <c r="D19" s="62">
        <f t="shared" si="0"/>
        <v>209</v>
      </c>
    </row>
    <row r="20" spans="2:4" x14ac:dyDescent="0.3">
      <c r="B20" s="60">
        <v>11</v>
      </c>
      <c r="C20" s="60">
        <v>219</v>
      </c>
      <c r="D20" s="62">
        <f t="shared" si="0"/>
        <v>219</v>
      </c>
    </row>
    <row r="21" spans="2:4" x14ac:dyDescent="0.3">
      <c r="B21" s="60">
        <v>12</v>
      </c>
      <c r="C21" s="60">
        <v>229</v>
      </c>
      <c r="D21" s="62">
        <f t="shared" si="0"/>
        <v>229</v>
      </c>
    </row>
    <row r="22" spans="2:4" x14ac:dyDescent="0.3">
      <c r="B22" s="60">
        <v>13</v>
      </c>
      <c r="C22" s="60">
        <v>239</v>
      </c>
      <c r="D22" s="62">
        <f t="shared" si="0"/>
        <v>239</v>
      </c>
    </row>
    <row r="23" spans="2:4" x14ac:dyDescent="0.3">
      <c r="B23" s="60">
        <v>14</v>
      </c>
      <c r="C23" s="60">
        <v>249</v>
      </c>
      <c r="D23" s="62">
        <f t="shared" si="0"/>
        <v>249</v>
      </c>
    </row>
    <row r="24" spans="2:4" x14ac:dyDescent="0.3">
      <c r="B24" s="60">
        <v>15</v>
      </c>
      <c r="C24" s="60">
        <v>259</v>
      </c>
      <c r="D24" s="62">
        <f t="shared" si="0"/>
        <v>259</v>
      </c>
    </row>
    <row r="25" spans="2:4" x14ac:dyDescent="0.3">
      <c r="B25" s="60">
        <v>16</v>
      </c>
      <c r="C25" s="60">
        <v>269</v>
      </c>
      <c r="D25" s="62">
        <f t="shared" si="0"/>
        <v>269</v>
      </c>
    </row>
    <row r="26" spans="2:4" x14ac:dyDescent="0.3">
      <c r="B26" s="60">
        <v>17</v>
      </c>
      <c r="C26" s="60">
        <v>279</v>
      </c>
      <c r="D26" s="62">
        <f t="shared" si="0"/>
        <v>279</v>
      </c>
    </row>
    <row r="27" spans="2:4" x14ac:dyDescent="0.3">
      <c r="B27" s="60">
        <v>18</v>
      </c>
      <c r="C27" s="60">
        <v>289</v>
      </c>
      <c r="D27" s="62">
        <f t="shared" si="0"/>
        <v>289</v>
      </c>
    </row>
    <row r="28" spans="2:4" x14ac:dyDescent="0.3">
      <c r="B28" s="60">
        <v>19</v>
      </c>
      <c r="C28" s="60">
        <v>299</v>
      </c>
      <c r="D28" s="62">
        <f t="shared" si="0"/>
        <v>299</v>
      </c>
    </row>
    <row r="29" spans="2:4" x14ac:dyDescent="0.3">
      <c r="B29" s="60">
        <v>20</v>
      </c>
      <c r="C29" s="60">
        <v>309</v>
      </c>
      <c r="D29" s="62">
        <f t="shared" si="0"/>
        <v>309</v>
      </c>
    </row>
    <row r="30" spans="2:4" x14ac:dyDescent="0.3">
      <c r="B30" s="60">
        <v>21</v>
      </c>
      <c r="C30" s="60">
        <v>319</v>
      </c>
      <c r="D30" s="62">
        <f t="shared" si="0"/>
        <v>319</v>
      </c>
    </row>
    <row r="31" spans="2:4" x14ac:dyDescent="0.3">
      <c r="B31" s="60">
        <v>22</v>
      </c>
      <c r="C31" s="60">
        <v>329</v>
      </c>
      <c r="D31" s="62">
        <f t="shared" si="0"/>
        <v>329</v>
      </c>
    </row>
    <row r="32" spans="2:4" x14ac:dyDescent="0.3">
      <c r="B32" s="60">
        <v>23</v>
      </c>
      <c r="C32" s="60">
        <v>339</v>
      </c>
      <c r="D32" s="62">
        <f t="shared" si="0"/>
        <v>339</v>
      </c>
    </row>
    <row r="33" spans="2:4" x14ac:dyDescent="0.3">
      <c r="B33" s="60">
        <v>24</v>
      </c>
      <c r="C33" s="60">
        <v>349</v>
      </c>
      <c r="D33" s="62">
        <f t="shared" si="0"/>
        <v>349</v>
      </c>
    </row>
    <row r="34" spans="2:4" x14ac:dyDescent="0.3">
      <c r="B34" s="60">
        <v>25</v>
      </c>
      <c r="C34" s="60">
        <v>359</v>
      </c>
      <c r="D34" s="62">
        <f t="shared" si="0"/>
        <v>359</v>
      </c>
    </row>
    <row r="35" spans="2:4" x14ac:dyDescent="0.3">
      <c r="B35" s="60">
        <v>26</v>
      </c>
      <c r="C35" s="60">
        <v>369</v>
      </c>
      <c r="D35" s="62">
        <f t="shared" si="0"/>
        <v>369</v>
      </c>
    </row>
    <row r="36" spans="2:4" x14ac:dyDescent="0.3">
      <c r="B36" s="60">
        <v>27</v>
      </c>
      <c r="C36" s="60">
        <v>379</v>
      </c>
      <c r="D36" s="62">
        <f t="shared" si="0"/>
        <v>379</v>
      </c>
    </row>
    <row r="37" spans="2:4" x14ac:dyDescent="0.3">
      <c r="B37" s="60">
        <v>28</v>
      </c>
      <c r="C37" s="60">
        <v>389</v>
      </c>
      <c r="D37" s="62">
        <f t="shared" si="0"/>
        <v>389</v>
      </c>
    </row>
    <row r="38" spans="2:4" x14ac:dyDescent="0.3">
      <c r="B38" s="60">
        <v>29</v>
      </c>
      <c r="C38" s="60">
        <v>399</v>
      </c>
      <c r="D38" s="62">
        <f t="shared" si="0"/>
        <v>399</v>
      </c>
    </row>
    <row r="39" spans="2:4" x14ac:dyDescent="0.3">
      <c r="B39" s="60">
        <v>30</v>
      </c>
      <c r="C39" s="60">
        <v>109</v>
      </c>
      <c r="D39" s="62">
        <f t="shared" si="0"/>
        <v>109</v>
      </c>
    </row>
    <row r="40" spans="2:4" x14ac:dyDescent="0.3">
      <c r="B40" s="60">
        <v>31</v>
      </c>
      <c r="C40" s="60">
        <v>49</v>
      </c>
      <c r="D40" s="62">
        <f t="shared" si="0"/>
        <v>49</v>
      </c>
    </row>
    <row r="41" spans="2:4" x14ac:dyDescent="0.3">
      <c r="B41" s="60">
        <v>32</v>
      </c>
      <c r="C41" s="60">
        <v>69</v>
      </c>
      <c r="D41" s="62">
        <f t="shared" si="0"/>
        <v>69</v>
      </c>
    </row>
    <row r="42" spans="2:4" x14ac:dyDescent="0.3">
      <c r="B42" s="60">
        <v>33</v>
      </c>
      <c r="C42" s="60">
        <v>119</v>
      </c>
      <c r="D42" s="62">
        <f>C42</f>
        <v>119</v>
      </c>
    </row>
    <row r="43" spans="2:4" x14ac:dyDescent="0.3">
      <c r="B43" s="60">
        <v>34</v>
      </c>
      <c r="C43" s="60">
        <v>449</v>
      </c>
      <c r="D43" s="62">
        <f>C43</f>
        <v>449</v>
      </c>
    </row>
    <row r="44" spans="2:4" x14ac:dyDescent="0.3">
      <c r="B44" s="60">
        <v>35</v>
      </c>
      <c r="C44" s="60">
        <v>529</v>
      </c>
      <c r="D44" s="62">
        <f>C44</f>
        <v>529</v>
      </c>
    </row>
    <row r="45" spans="2:4" x14ac:dyDescent="0.3">
      <c r="B45" s="60">
        <v>36</v>
      </c>
      <c r="C45" s="60">
        <v>429</v>
      </c>
      <c r="D45" s="62">
        <f>C45</f>
        <v>429</v>
      </c>
    </row>
    <row r="46" spans="2:4" x14ac:dyDescent="0.3">
      <c r="B46" s="60">
        <v>37</v>
      </c>
      <c r="C46" s="60">
        <v>109</v>
      </c>
      <c r="D46" s="62">
        <f t="shared" ref="D46:D101" si="1">C46-(C46*(5/100))</f>
        <v>103.55</v>
      </c>
    </row>
    <row r="47" spans="2:4" x14ac:dyDescent="0.3">
      <c r="B47" s="60">
        <v>38</v>
      </c>
      <c r="C47" s="60">
        <v>119</v>
      </c>
      <c r="D47" s="62">
        <f t="shared" si="1"/>
        <v>113.05</v>
      </c>
    </row>
    <row r="48" spans="2:4" x14ac:dyDescent="0.3">
      <c r="B48" s="60">
        <v>39</v>
      </c>
      <c r="C48" s="60">
        <v>129</v>
      </c>
      <c r="D48" s="62">
        <f t="shared" si="1"/>
        <v>122.55</v>
      </c>
    </row>
    <row r="49" spans="2:4" x14ac:dyDescent="0.3">
      <c r="B49" s="60">
        <v>40</v>
      </c>
      <c r="C49" s="60">
        <v>139</v>
      </c>
      <c r="D49" s="62">
        <f t="shared" si="1"/>
        <v>132.05000000000001</v>
      </c>
    </row>
    <row r="50" spans="2:4" x14ac:dyDescent="0.3">
      <c r="B50" s="60">
        <v>41</v>
      </c>
      <c r="C50" s="60">
        <v>149</v>
      </c>
      <c r="D50" s="62">
        <f t="shared" si="1"/>
        <v>141.55000000000001</v>
      </c>
    </row>
    <row r="51" spans="2:4" x14ac:dyDescent="0.3">
      <c r="B51" s="60">
        <v>42</v>
      </c>
      <c r="C51" s="60">
        <v>159</v>
      </c>
      <c r="D51" s="62">
        <f t="shared" si="1"/>
        <v>151.05000000000001</v>
      </c>
    </row>
    <row r="52" spans="2:4" x14ac:dyDescent="0.3">
      <c r="B52" s="60">
        <v>43</v>
      </c>
      <c r="C52" s="60">
        <v>169</v>
      </c>
      <c r="D52" s="62">
        <f t="shared" si="1"/>
        <v>160.55000000000001</v>
      </c>
    </row>
    <row r="53" spans="2:4" x14ac:dyDescent="0.3">
      <c r="B53" s="60">
        <v>44</v>
      </c>
      <c r="C53" s="60">
        <v>179</v>
      </c>
      <c r="D53" s="62">
        <f t="shared" si="1"/>
        <v>170.05</v>
      </c>
    </row>
    <row r="54" spans="2:4" x14ac:dyDescent="0.3">
      <c r="B54" s="60">
        <v>45</v>
      </c>
      <c r="C54" s="60">
        <v>189</v>
      </c>
      <c r="D54" s="62">
        <f t="shared" si="1"/>
        <v>179.55</v>
      </c>
    </row>
    <row r="55" spans="2:4" x14ac:dyDescent="0.3">
      <c r="B55" s="60">
        <v>46</v>
      </c>
      <c r="C55" s="60">
        <v>199</v>
      </c>
      <c r="D55" s="62">
        <f t="shared" si="1"/>
        <v>189.05</v>
      </c>
    </row>
    <row r="56" spans="2:4" x14ac:dyDescent="0.3">
      <c r="B56" s="60">
        <v>47</v>
      </c>
      <c r="C56" s="60">
        <v>209</v>
      </c>
      <c r="D56" s="62">
        <f t="shared" si="1"/>
        <v>198.55</v>
      </c>
    </row>
    <row r="57" spans="2:4" x14ac:dyDescent="0.3">
      <c r="B57" s="60">
        <v>48</v>
      </c>
      <c r="C57" s="60">
        <v>219</v>
      </c>
      <c r="D57" s="62">
        <f t="shared" si="1"/>
        <v>208.05</v>
      </c>
    </row>
    <row r="58" spans="2:4" x14ac:dyDescent="0.3">
      <c r="B58" s="60">
        <v>49</v>
      </c>
      <c r="C58" s="60">
        <v>229</v>
      </c>
      <c r="D58" s="62">
        <f t="shared" si="1"/>
        <v>217.55</v>
      </c>
    </row>
    <row r="59" spans="2:4" x14ac:dyDescent="0.3">
      <c r="B59" s="60">
        <v>50</v>
      </c>
      <c r="C59" s="60">
        <v>239</v>
      </c>
      <c r="D59" s="62">
        <f t="shared" si="1"/>
        <v>227.05</v>
      </c>
    </row>
    <row r="60" spans="2:4" x14ac:dyDescent="0.3">
      <c r="B60" s="60">
        <v>51</v>
      </c>
      <c r="C60" s="60">
        <v>249</v>
      </c>
      <c r="D60" s="62">
        <f t="shared" si="1"/>
        <v>236.55</v>
      </c>
    </row>
    <row r="61" spans="2:4" x14ac:dyDescent="0.3">
      <c r="B61" s="60">
        <v>52</v>
      </c>
      <c r="C61" s="60">
        <v>259</v>
      </c>
      <c r="D61" s="62">
        <f t="shared" si="1"/>
        <v>246.05</v>
      </c>
    </row>
    <row r="62" spans="2:4" x14ac:dyDescent="0.3">
      <c r="B62" s="60">
        <v>53</v>
      </c>
      <c r="C62" s="60">
        <v>269</v>
      </c>
      <c r="D62" s="62">
        <f t="shared" si="1"/>
        <v>255.55</v>
      </c>
    </row>
    <row r="63" spans="2:4" x14ac:dyDescent="0.3">
      <c r="B63" s="60">
        <v>54</v>
      </c>
      <c r="C63" s="60">
        <v>279</v>
      </c>
      <c r="D63" s="62">
        <f t="shared" si="1"/>
        <v>265.05</v>
      </c>
    </row>
    <row r="64" spans="2:4" x14ac:dyDescent="0.3">
      <c r="B64" s="60">
        <v>55</v>
      </c>
      <c r="C64" s="60">
        <v>289</v>
      </c>
      <c r="D64" s="62">
        <f t="shared" si="1"/>
        <v>274.55</v>
      </c>
    </row>
    <row r="65" spans="2:4" x14ac:dyDescent="0.3">
      <c r="B65" s="60">
        <v>56</v>
      </c>
      <c r="C65" s="60">
        <v>299</v>
      </c>
      <c r="D65" s="62">
        <f t="shared" si="1"/>
        <v>284.05</v>
      </c>
    </row>
    <row r="66" spans="2:4" x14ac:dyDescent="0.3">
      <c r="B66" s="60">
        <v>57</v>
      </c>
      <c r="C66" s="60">
        <v>309</v>
      </c>
      <c r="D66" s="62">
        <f t="shared" si="1"/>
        <v>293.55</v>
      </c>
    </row>
    <row r="67" spans="2:4" x14ac:dyDescent="0.3">
      <c r="B67" s="60">
        <v>58</v>
      </c>
      <c r="C67" s="60">
        <v>319</v>
      </c>
      <c r="D67" s="62">
        <f t="shared" si="1"/>
        <v>303.05</v>
      </c>
    </row>
    <row r="68" spans="2:4" x14ac:dyDescent="0.3">
      <c r="B68" s="60">
        <v>59</v>
      </c>
      <c r="C68" s="60">
        <v>329</v>
      </c>
      <c r="D68" s="62">
        <f t="shared" si="1"/>
        <v>312.55</v>
      </c>
    </row>
    <row r="69" spans="2:4" x14ac:dyDescent="0.3">
      <c r="B69" s="60">
        <v>60</v>
      </c>
      <c r="C69" s="60">
        <v>339</v>
      </c>
      <c r="D69" s="62">
        <f t="shared" si="1"/>
        <v>322.05</v>
      </c>
    </row>
    <row r="70" spans="2:4" x14ac:dyDescent="0.3">
      <c r="B70" s="60">
        <v>61</v>
      </c>
      <c r="C70" s="60">
        <v>349</v>
      </c>
      <c r="D70" s="62">
        <f t="shared" si="1"/>
        <v>331.55</v>
      </c>
    </row>
    <row r="71" spans="2:4" x14ac:dyDescent="0.3">
      <c r="B71" s="60">
        <v>62</v>
      </c>
      <c r="C71" s="60">
        <v>359</v>
      </c>
      <c r="D71" s="62">
        <f t="shared" si="1"/>
        <v>341.05</v>
      </c>
    </row>
    <row r="72" spans="2:4" x14ac:dyDescent="0.3">
      <c r="B72" s="60">
        <v>63</v>
      </c>
      <c r="C72" s="60">
        <v>369</v>
      </c>
      <c r="D72" s="62">
        <f t="shared" si="1"/>
        <v>350.55</v>
      </c>
    </row>
    <row r="73" spans="2:4" x14ac:dyDescent="0.3">
      <c r="B73" s="60">
        <v>64</v>
      </c>
      <c r="C73" s="60">
        <v>379</v>
      </c>
      <c r="D73" s="62">
        <f t="shared" si="1"/>
        <v>360.05</v>
      </c>
    </row>
    <row r="74" spans="2:4" x14ac:dyDescent="0.3">
      <c r="B74" s="60">
        <v>65</v>
      </c>
      <c r="C74" s="60">
        <v>389</v>
      </c>
      <c r="D74" s="62">
        <f t="shared" si="1"/>
        <v>369.55</v>
      </c>
    </row>
    <row r="75" spans="2:4" x14ac:dyDescent="0.3">
      <c r="B75" s="60">
        <v>66</v>
      </c>
      <c r="C75" s="60">
        <v>399</v>
      </c>
      <c r="D75" s="62">
        <f t="shared" si="1"/>
        <v>379.05</v>
      </c>
    </row>
    <row r="76" spans="2:4" x14ac:dyDescent="0.3">
      <c r="B76" s="60">
        <v>31</v>
      </c>
      <c r="C76" s="60">
        <v>49</v>
      </c>
      <c r="D76" s="62">
        <f t="shared" si="1"/>
        <v>46.55</v>
      </c>
    </row>
    <row r="77" spans="2:4" x14ac:dyDescent="0.3">
      <c r="B77" s="60" t="s">
        <v>576</v>
      </c>
      <c r="C77" s="60">
        <v>99</v>
      </c>
      <c r="D77" s="62">
        <f t="shared" si="1"/>
        <v>94.05</v>
      </c>
    </row>
    <row r="78" spans="2:4" x14ac:dyDescent="0.3">
      <c r="B78" s="60" t="s">
        <v>18</v>
      </c>
      <c r="C78" s="60">
        <v>99</v>
      </c>
      <c r="D78" s="62">
        <f t="shared" si="1"/>
        <v>94.05</v>
      </c>
    </row>
    <row r="79" spans="2:4" x14ac:dyDescent="0.3">
      <c r="B79" s="60" t="s">
        <v>19</v>
      </c>
      <c r="C79" s="60">
        <v>139</v>
      </c>
      <c r="D79" s="62">
        <f t="shared" si="1"/>
        <v>132.05000000000001</v>
      </c>
    </row>
    <row r="80" spans="2:4" x14ac:dyDescent="0.3">
      <c r="B80" s="60" t="s">
        <v>20</v>
      </c>
      <c r="C80" s="60">
        <v>109</v>
      </c>
      <c r="D80" s="62">
        <f t="shared" si="1"/>
        <v>103.55</v>
      </c>
    </row>
    <row r="81" spans="2:4" x14ac:dyDescent="0.3">
      <c r="B81" s="60" t="s">
        <v>21</v>
      </c>
      <c r="C81" s="60">
        <v>199</v>
      </c>
      <c r="D81" s="62">
        <f t="shared" si="1"/>
        <v>189.05</v>
      </c>
    </row>
    <row r="82" spans="2:4" x14ac:dyDescent="0.3">
      <c r="B82" s="60" t="s">
        <v>22</v>
      </c>
      <c r="C82" s="60">
        <v>149</v>
      </c>
      <c r="D82" s="62">
        <f t="shared" si="1"/>
        <v>141.55000000000001</v>
      </c>
    </row>
    <row r="83" spans="2:4" x14ac:dyDescent="0.3">
      <c r="B83" s="60" t="s">
        <v>23</v>
      </c>
      <c r="C83" s="60">
        <v>99</v>
      </c>
      <c r="D83" s="62">
        <f t="shared" si="1"/>
        <v>94.05</v>
      </c>
    </row>
    <row r="84" spans="2:4" x14ac:dyDescent="0.3">
      <c r="B84" s="60" t="s">
        <v>24</v>
      </c>
      <c r="C84" s="60">
        <v>149</v>
      </c>
      <c r="D84" s="62">
        <f t="shared" si="1"/>
        <v>141.55000000000001</v>
      </c>
    </row>
    <row r="85" spans="2:4" x14ac:dyDescent="0.3">
      <c r="B85" s="60" t="s">
        <v>25</v>
      </c>
      <c r="C85" s="60">
        <v>109</v>
      </c>
      <c r="D85" s="62">
        <f t="shared" si="1"/>
        <v>103.55</v>
      </c>
    </row>
    <row r="86" spans="2:4" x14ac:dyDescent="0.3">
      <c r="B86" s="60" t="s">
        <v>26</v>
      </c>
      <c r="C86" s="60"/>
      <c r="D86" s="62">
        <f t="shared" si="1"/>
        <v>0</v>
      </c>
    </row>
    <row r="87" spans="2:4" x14ac:dyDescent="0.3">
      <c r="B87" s="60" t="s">
        <v>27</v>
      </c>
      <c r="C87" s="60">
        <v>129</v>
      </c>
      <c r="D87" s="62">
        <f t="shared" si="1"/>
        <v>122.55</v>
      </c>
    </row>
    <row r="88" spans="2:4" x14ac:dyDescent="0.3">
      <c r="B88" s="60" t="s">
        <v>28</v>
      </c>
      <c r="C88" s="60">
        <v>199</v>
      </c>
      <c r="D88" s="62">
        <f t="shared" si="1"/>
        <v>189.05</v>
      </c>
    </row>
    <row r="89" spans="2:4" x14ac:dyDescent="0.3">
      <c r="B89" s="60" t="s">
        <v>29</v>
      </c>
      <c r="C89" s="60">
        <v>209</v>
      </c>
      <c r="D89" s="62">
        <f t="shared" si="1"/>
        <v>198.55</v>
      </c>
    </row>
    <row r="90" spans="2:4" x14ac:dyDescent="0.3">
      <c r="B90" s="60" t="s">
        <v>30</v>
      </c>
      <c r="C90" s="60">
        <v>149</v>
      </c>
      <c r="D90" s="62">
        <f t="shared" si="1"/>
        <v>141.55000000000001</v>
      </c>
    </row>
    <row r="91" spans="2:4" x14ac:dyDescent="0.3">
      <c r="B91" s="60" t="s">
        <v>31</v>
      </c>
      <c r="C91" s="60">
        <v>109</v>
      </c>
      <c r="D91" s="62">
        <f t="shared" si="1"/>
        <v>103.55</v>
      </c>
    </row>
    <row r="92" spans="2:4" x14ac:dyDescent="0.3">
      <c r="B92" s="60" t="s">
        <v>32</v>
      </c>
      <c r="C92" s="60">
        <v>129</v>
      </c>
      <c r="D92" s="62">
        <f t="shared" si="1"/>
        <v>122.55</v>
      </c>
    </row>
    <row r="93" spans="2:4" x14ac:dyDescent="0.3">
      <c r="B93" s="60" t="s">
        <v>33</v>
      </c>
      <c r="C93" s="60"/>
      <c r="D93" s="62">
        <f t="shared" si="1"/>
        <v>0</v>
      </c>
    </row>
    <row r="94" spans="2:4" x14ac:dyDescent="0.3">
      <c r="B94" s="60" t="s">
        <v>34</v>
      </c>
      <c r="C94" s="60">
        <v>109</v>
      </c>
      <c r="D94" s="62">
        <f t="shared" si="1"/>
        <v>103.55</v>
      </c>
    </row>
    <row r="95" spans="2:4" x14ac:dyDescent="0.3">
      <c r="B95" s="60" t="s">
        <v>44</v>
      </c>
      <c r="C95" s="60">
        <v>199</v>
      </c>
      <c r="D95" s="62">
        <f t="shared" si="1"/>
        <v>189.05</v>
      </c>
    </row>
    <row r="96" spans="2:4" x14ac:dyDescent="0.3">
      <c r="B96" s="60" t="s">
        <v>37</v>
      </c>
      <c r="C96" s="60">
        <v>199</v>
      </c>
      <c r="D96" s="62">
        <f t="shared" si="1"/>
        <v>189.05</v>
      </c>
    </row>
    <row r="97" spans="2:4" x14ac:dyDescent="0.3">
      <c r="B97" s="60" t="s">
        <v>38</v>
      </c>
      <c r="C97" s="60">
        <v>109</v>
      </c>
      <c r="D97" s="62">
        <f t="shared" si="1"/>
        <v>103.55</v>
      </c>
    </row>
    <row r="98" spans="2:4" x14ac:dyDescent="0.3">
      <c r="B98" s="60" t="s">
        <v>41</v>
      </c>
      <c r="C98" s="60">
        <v>169</v>
      </c>
      <c r="D98" s="62">
        <f t="shared" si="1"/>
        <v>160.55000000000001</v>
      </c>
    </row>
    <row r="99" spans="2:4" x14ac:dyDescent="0.3">
      <c r="B99" s="60" t="s">
        <v>40</v>
      </c>
      <c r="C99" s="60">
        <v>199</v>
      </c>
      <c r="D99" s="62">
        <f t="shared" si="1"/>
        <v>189.05</v>
      </c>
    </row>
    <row r="100" spans="2:4" x14ac:dyDescent="0.3">
      <c r="B100" s="60" t="s">
        <v>47</v>
      </c>
      <c r="C100" s="60">
        <v>199</v>
      </c>
      <c r="D100" s="62">
        <f t="shared" si="1"/>
        <v>189.05</v>
      </c>
    </row>
    <row r="101" spans="2:4" x14ac:dyDescent="0.3">
      <c r="B101" s="60" t="s">
        <v>42</v>
      </c>
      <c r="C101" s="60">
        <v>199</v>
      </c>
      <c r="D101" s="62">
        <f t="shared" si="1"/>
        <v>189.05</v>
      </c>
    </row>
    <row r="102" spans="2:4" x14ac:dyDescent="0.3">
      <c r="B102" s="60" t="s">
        <v>43</v>
      </c>
      <c r="C102" s="60">
        <v>299</v>
      </c>
      <c r="D102" s="62">
        <f t="shared" ref="D102:D165" si="2">C102-(C102*(5/100))</f>
        <v>284.05</v>
      </c>
    </row>
    <row r="103" spans="2:4" x14ac:dyDescent="0.3">
      <c r="B103" s="60" t="s">
        <v>45</v>
      </c>
      <c r="C103" s="60">
        <v>99</v>
      </c>
      <c r="D103" s="62">
        <f t="shared" si="2"/>
        <v>94.05</v>
      </c>
    </row>
    <row r="104" spans="2:4" x14ac:dyDescent="0.3">
      <c r="B104" s="60" t="s">
        <v>46</v>
      </c>
      <c r="C104" s="60">
        <v>149</v>
      </c>
      <c r="D104" s="62">
        <f t="shared" si="2"/>
        <v>141.55000000000001</v>
      </c>
    </row>
    <row r="105" spans="2:4" x14ac:dyDescent="0.3">
      <c r="B105" s="60" t="s">
        <v>39</v>
      </c>
      <c r="C105" s="60">
        <v>129</v>
      </c>
      <c r="D105" s="62">
        <f t="shared" si="2"/>
        <v>122.55</v>
      </c>
    </row>
    <row r="106" spans="2:4" x14ac:dyDescent="0.3">
      <c r="B106" s="60" t="s">
        <v>36</v>
      </c>
      <c r="C106" s="60">
        <v>129</v>
      </c>
      <c r="D106" s="62">
        <f t="shared" si="2"/>
        <v>122.55</v>
      </c>
    </row>
    <row r="107" spans="2:4" x14ac:dyDescent="0.3">
      <c r="B107" s="60" t="s">
        <v>35</v>
      </c>
      <c r="C107" s="60">
        <v>149</v>
      </c>
      <c r="D107" s="62">
        <f t="shared" si="2"/>
        <v>141.55000000000001</v>
      </c>
    </row>
    <row r="108" spans="2:4" x14ac:dyDescent="0.3">
      <c r="B108" s="60" t="s">
        <v>152</v>
      </c>
      <c r="C108" s="60">
        <v>229</v>
      </c>
      <c r="D108" s="62">
        <f t="shared" si="2"/>
        <v>217.55</v>
      </c>
    </row>
    <row r="109" spans="2:4" x14ac:dyDescent="0.3">
      <c r="B109" s="60" t="s">
        <v>140</v>
      </c>
      <c r="C109" s="60">
        <v>199</v>
      </c>
      <c r="D109" s="62">
        <f t="shared" si="2"/>
        <v>189.05</v>
      </c>
    </row>
    <row r="110" spans="2:4" x14ac:dyDescent="0.3">
      <c r="B110" s="60" t="s">
        <v>153</v>
      </c>
      <c r="C110" s="60">
        <v>249</v>
      </c>
      <c r="D110" s="62">
        <f t="shared" si="2"/>
        <v>236.55</v>
      </c>
    </row>
    <row r="111" spans="2:4" x14ac:dyDescent="0.3">
      <c r="B111" s="60" t="s">
        <v>154</v>
      </c>
      <c r="C111" s="60">
        <v>209</v>
      </c>
      <c r="D111" s="62">
        <f t="shared" si="2"/>
        <v>198.55</v>
      </c>
    </row>
    <row r="112" spans="2:4" x14ac:dyDescent="0.3">
      <c r="B112" s="60" t="s">
        <v>141</v>
      </c>
      <c r="C112" s="60">
        <v>99</v>
      </c>
      <c r="D112" s="62">
        <f t="shared" si="2"/>
        <v>94.05</v>
      </c>
    </row>
    <row r="113" spans="2:4" x14ac:dyDescent="0.3">
      <c r="B113" s="60" t="s">
        <v>142</v>
      </c>
      <c r="C113" s="60">
        <v>249</v>
      </c>
      <c r="D113" s="62">
        <f t="shared" si="2"/>
        <v>236.55</v>
      </c>
    </row>
    <row r="114" spans="2:4" x14ac:dyDescent="0.3">
      <c r="B114" s="60" t="s">
        <v>143</v>
      </c>
      <c r="C114" s="60">
        <v>99</v>
      </c>
      <c r="D114" s="62">
        <f t="shared" si="2"/>
        <v>94.05</v>
      </c>
    </row>
    <row r="115" spans="2:4" x14ac:dyDescent="0.3">
      <c r="B115" s="60" t="s">
        <v>144</v>
      </c>
      <c r="C115" s="60">
        <v>129</v>
      </c>
      <c r="D115" s="62">
        <f t="shared" si="2"/>
        <v>122.55</v>
      </c>
    </row>
    <row r="116" spans="2:4" x14ac:dyDescent="0.3">
      <c r="B116" s="60" t="s">
        <v>145</v>
      </c>
      <c r="C116" s="60">
        <v>149</v>
      </c>
      <c r="D116" s="62">
        <f t="shared" si="2"/>
        <v>141.55000000000001</v>
      </c>
    </row>
    <row r="117" spans="2:4" x14ac:dyDescent="0.3">
      <c r="B117" s="60" t="s">
        <v>146</v>
      </c>
      <c r="C117" s="60">
        <v>149</v>
      </c>
      <c r="D117" s="62">
        <f t="shared" si="2"/>
        <v>141.55000000000001</v>
      </c>
    </row>
    <row r="118" spans="2:4" x14ac:dyDescent="0.3">
      <c r="B118" s="60" t="s">
        <v>147</v>
      </c>
      <c r="C118" s="60">
        <v>109</v>
      </c>
      <c r="D118" s="62">
        <f t="shared" si="2"/>
        <v>103.55</v>
      </c>
    </row>
    <row r="119" spans="2:4" x14ac:dyDescent="0.3">
      <c r="B119" s="60" t="s">
        <v>148</v>
      </c>
      <c r="C119" s="60">
        <v>270.25</v>
      </c>
      <c r="D119" s="62">
        <f t="shared" si="2"/>
        <v>256.73750000000001</v>
      </c>
    </row>
    <row r="120" spans="2:4" x14ac:dyDescent="0.3">
      <c r="B120" s="60" t="s">
        <v>149</v>
      </c>
      <c r="C120" s="60">
        <v>109</v>
      </c>
      <c r="D120" s="62">
        <f t="shared" si="2"/>
        <v>103.55</v>
      </c>
    </row>
    <row r="121" spans="2:4" x14ac:dyDescent="0.3">
      <c r="B121" s="60" t="s">
        <v>150</v>
      </c>
      <c r="C121" s="60">
        <v>99</v>
      </c>
      <c r="D121" s="62">
        <f t="shared" si="2"/>
        <v>94.05</v>
      </c>
    </row>
    <row r="122" spans="2:4" x14ac:dyDescent="0.3">
      <c r="B122" s="60" t="s">
        <v>151</v>
      </c>
      <c r="C122" s="60">
        <v>199</v>
      </c>
      <c r="D122" s="62">
        <f t="shared" si="2"/>
        <v>189.05</v>
      </c>
    </row>
    <row r="123" spans="2:4" x14ac:dyDescent="0.3">
      <c r="B123" s="60" t="s">
        <v>157</v>
      </c>
      <c r="C123" s="60">
        <v>199</v>
      </c>
      <c r="D123" s="62">
        <f t="shared" si="2"/>
        <v>189.05</v>
      </c>
    </row>
    <row r="124" spans="2:4" x14ac:dyDescent="0.3">
      <c r="B124" s="60" t="s">
        <v>158</v>
      </c>
      <c r="C124" s="60">
        <v>349</v>
      </c>
      <c r="D124" s="62">
        <f t="shared" si="2"/>
        <v>331.55</v>
      </c>
    </row>
    <row r="125" spans="2:4" x14ac:dyDescent="0.3">
      <c r="B125" s="60" t="s">
        <v>159</v>
      </c>
      <c r="C125" s="60">
        <v>349</v>
      </c>
      <c r="D125" s="62">
        <f t="shared" si="2"/>
        <v>331.55</v>
      </c>
    </row>
    <row r="126" spans="2:4" x14ac:dyDescent="0.3">
      <c r="B126" s="60" t="s">
        <v>160</v>
      </c>
      <c r="C126" s="60">
        <v>229</v>
      </c>
      <c r="D126" s="62">
        <f t="shared" si="2"/>
        <v>217.55</v>
      </c>
    </row>
    <row r="127" spans="2:4" x14ac:dyDescent="0.3">
      <c r="B127" s="60" t="s">
        <v>161</v>
      </c>
      <c r="C127" s="60">
        <v>199</v>
      </c>
      <c r="D127" s="62">
        <f t="shared" si="2"/>
        <v>189.05</v>
      </c>
    </row>
    <row r="128" spans="2:4" x14ac:dyDescent="0.3">
      <c r="B128" s="60" t="s">
        <v>162</v>
      </c>
      <c r="C128" s="60">
        <v>229</v>
      </c>
      <c r="D128" s="62">
        <f t="shared" si="2"/>
        <v>217.55</v>
      </c>
    </row>
    <row r="129" spans="2:4" x14ac:dyDescent="0.3">
      <c r="B129" s="60" t="s">
        <v>163</v>
      </c>
      <c r="C129" s="60">
        <v>329</v>
      </c>
      <c r="D129" s="62">
        <f t="shared" si="2"/>
        <v>312.55</v>
      </c>
    </row>
    <row r="130" spans="2:4" x14ac:dyDescent="0.3">
      <c r="B130" s="60" t="s">
        <v>164</v>
      </c>
      <c r="C130" s="60">
        <v>349</v>
      </c>
      <c r="D130" s="62">
        <f t="shared" si="2"/>
        <v>331.55</v>
      </c>
    </row>
    <row r="131" spans="2:4" x14ac:dyDescent="0.3">
      <c r="B131" s="60" t="s">
        <v>165</v>
      </c>
      <c r="C131" s="60">
        <v>99</v>
      </c>
      <c r="D131" s="62">
        <f t="shared" si="2"/>
        <v>94.05</v>
      </c>
    </row>
    <row r="132" spans="2:4" x14ac:dyDescent="0.3">
      <c r="B132" s="60" t="s">
        <v>166</v>
      </c>
      <c r="C132" s="60">
        <v>149</v>
      </c>
      <c r="D132" s="62">
        <f t="shared" si="2"/>
        <v>141.55000000000001</v>
      </c>
    </row>
    <row r="133" spans="2:4" x14ac:dyDescent="0.3">
      <c r="B133" s="60" t="s">
        <v>167</v>
      </c>
      <c r="C133" s="60">
        <v>199</v>
      </c>
      <c r="D133" s="62">
        <f t="shared" si="2"/>
        <v>189.05</v>
      </c>
    </row>
    <row r="134" spans="2:4" x14ac:dyDescent="0.3">
      <c r="B134" s="60" t="s">
        <v>168</v>
      </c>
      <c r="C134" s="60">
        <v>229</v>
      </c>
      <c r="D134" s="62">
        <f t="shared" si="2"/>
        <v>217.55</v>
      </c>
    </row>
    <row r="135" spans="2:4" x14ac:dyDescent="0.3">
      <c r="B135" s="60" t="s">
        <v>169</v>
      </c>
      <c r="C135" s="60">
        <v>149</v>
      </c>
      <c r="D135" s="62">
        <f t="shared" si="2"/>
        <v>141.55000000000001</v>
      </c>
    </row>
    <row r="136" spans="2:4" x14ac:dyDescent="0.3">
      <c r="B136" s="60" t="s">
        <v>170</v>
      </c>
      <c r="C136" s="60">
        <v>199</v>
      </c>
      <c r="D136" s="62">
        <f t="shared" si="2"/>
        <v>189.05</v>
      </c>
    </row>
    <row r="137" spans="2:4" x14ac:dyDescent="0.3">
      <c r="B137" s="60" t="s">
        <v>171</v>
      </c>
      <c r="C137" s="60">
        <v>199</v>
      </c>
      <c r="D137" s="62">
        <f t="shared" si="2"/>
        <v>189.05</v>
      </c>
    </row>
    <row r="138" spans="2:4" x14ac:dyDescent="0.3">
      <c r="B138" s="60" t="s">
        <v>173</v>
      </c>
      <c r="C138" s="60">
        <v>189</v>
      </c>
      <c r="D138" s="62">
        <f t="shared" si="2"/>
        <v>179.55</v>
      </c>
    </row>
    <row r="139" spans="2:4" x14ac:dyDescent="0.3">
      <c r="B139" s="60" t="s">
        <v>174</v>
      </c>
      <c r="C139" s="60">
        <v>149</v>
      </c>
      <c r="D139" s="62">
        <f t="shared" si="2"/>
        <v>141.55000000000001</v>
      </c>
    </row>
    <row r="140" spans="2:4" x14ac:dyDescent="0.3">
      <c r="B140" s="60" t="s">
        <v>175</v>
      </c>
      <c r="C140" s="60">
        <v>169</v>
      </c>
      <c r="D140" s="62">
        <f t="shared" si="2"/>
        <v>160.55000000000001</v>
      </c>
    </row>
    <row r="141" spans="2:4" x14ac:dyDescent="0.3">
      <c r="B141" s="60" t="s">
        <v>176</v>
      </c>
      <c r="C141" s="60">
        <v>159</v>
      </c>
      <c r="D141" s="62">
        <f t="shared" si="2"/>
        <v>151.05000000000001</v>
      </c>
    </row>
    <row r="142" spans="2:4" x14ac:dyDescent="0.3">
      <c r="B142" s="60" t="s">
        <v>177</v>
      </c>
      <c r="C142" s="60">
        <v>159</v>
      </c>
      <c r="D142" s="62">
        <f t="shared" si="2"/>
        <v>151.05000000000001</v>
      </c>
    </row>
    <row r="143" spans="2:4" x14ac:dyDescent="0.3">
      <c r="B143" s="60" t="s">
        <v>178</v>
      </c>
      <c r="C143" s="60">
        <v>99</v>
      </c>
      <c r="D143" s="62">
        <f t="shared" si="2"/>
        <v>94.05</v>
      </c>
    </row>
    <row r="144" spans="2:4" x14ac:dyDescent="0.3">
      <c r="B144" s="60" t="s">
        <v>179</v>
      </c>
      <c r="C144" s="60">
        <v>159</v>
      </c>
      <c r="D144" s="62">
        <f t="shared" si="2"/>
        <v>151.05000000000001</v>
      </c>
    </row>
    <row r="145" spans="2:4" x14ac:dyDescent="0.3">
      <c r="B145" s="60" t="s">
        <v>180</v>
      </c>
      <c r="C145" s="60">
        <v>129</v>
      </c>
      <c r="D145" s="62">
        <f t="shared" si="2"/>
        <v>122.55</v>
      </c>
    </row>
    <row r="146" spans="2:4" x14ac:dyDescent="0.3">
      <c r="B146" s="60" t="s">
        <v>181</v>
      </c>
      <c r="C146" s="60">
        <v>129</v>
      </c>
      <c r="D146" s="62">
        <f t="shared" si="2"/>
        <v>122.55</v>
      </c>
    </row>
    <row r="147" spans="2:4" x14ac:dyDescent="0.3">
      <c r="B147" s="60" t="s">
        <v>182</v>
      </c>
      <c r="C147" s="60">
        <v>149</v>
      </c>
      <c r="D147" s="62">
        <f t="shared" si="2"/>
        <v>141.55000000000001</v>
      </c>
    </row>
    <row r="148" spans="2:4" x14ac:dyDescent="0.3">
      <c r="B148" s="60" t="s">
        <v>183</v>
      </c>
      <c r="C148" s="60">
        <v>169</v>
      </c>
      <c r="D148" s="62">
        <f t="shared" si="2"/>
        <v>160.55000000000001</v>
      </c>
    </row>
    <row r="149" spans="2:4" x14ac:dyDescent="0.3">
      <c r="B149" s="60" t="s">
        <v>184</v>
      </c>
      <c r="C149" s="60">
        <v>199</v>
      </c>
      <c r="D149" s="62">
        <f t="shared" si="2"/>
        <v>189.05</v>
      </c>
    </row>
    <row r="150" spans="2:4" x14ac:dyDescent="0.3">
      <c r="B150" s="60" t="s">
        <v>185</v>
      </c>
      <c r="C150" s="60">
        <v>179</v>
      </c>
      <c r="D150" s="62">
        <f t="shared" si="2"/>
        <v>170.05</v>
      </c>
    </row>
    <row r="151" spans="2:4" x14ac:dyDescent="0.3">
      <c r="B151" s="60" t="s">
        <v>186</v>
      </c>
      <c r="C151" s="60">
        <v>99</v>
      </c>
      <c r="D151" s="62">
        <f t="shared" si="2"/>
        <v>94.05</v>
      </c>
    </row>
    <row r="152" spans="2:4" x14ac:dyDescent="0.3">
      <c r="B152" s="60" t="s">
        <v>187</v>
      </c>
      <c r="C152" s="60">
        <v>99</v>
      </c>
      <c r="D152" s="62">
        <f t="shared" si="2"/>
        <v>94.05</v>
      </c>
    </row>
    <row r="153" spans="2:4" x14ac:dyDescent="0.3">
      <c r="B153" s="60" t="s">
        <v>188</v>
      </c>
      <c r="C153" s="60">
        <v>99</v>
      </c>
      <c r="D153" s="62">
        <f t="shared" si="2"/>
        <v>94.05</v>
      </c>
    </row>
    <row r="154" spans="2:4" x14ac:dyDescent="0.3">
      <c r="B154" s="60" t="s">
        <v>189</v>
      </c>
      <c r="C154" s="60">
        <v>129</v>
      </c>
      <c r="D154" s="62">
        <f t="shared" si="2"/>
        <v>122.55</v>
      </c>
    </row>
    <row r="155" spans="2:4" x14ac:dyDescent="0.3">
      <c r="B155" s="60" t="s">
        <v>190</v>
      </c>
      <c r="C155" s="60">
        <v>139</v>
      </c>
      <c r="D155" s="62">
        <f t="shared" si="2"/>
        <v>132.05000000000001</v>
      </c>
    </row>
    <row r="156" spans="2:4" x14ac:dyDescent="0.3">
      <c r="B156" s="60" t="s">
        <v>172</v>
      </c>
      <c r="C156" s="60">
        <v>299</v>
      </c>
      <c r="D156" s="62">
        <f t="shared" si="2"/>
        <v>284.05</v>
      </c>
    </row>
    <row r="157" spans="2:4" x14ac:dyDescent="0.3">
      <c r="B157" s="60" t="s">
        <v>191</v>
      </c>
      <c r="C157" s="60">
        <v>199</v>
      </c>
      <c r="D157" s="62">
        <f t="shared" si="2"/>
        <v>189.05</v>
      </c>
    </row>
    <row r="158" spans="2:4" x14ac:dyDescent="0.3">
      <c r="B158" s="60" t="s">
        <v>192</v>
      </c>
      <c r="C158" s="60">
        <v>172.5</v>
      </c>
      <c r="D158" s="62">
        <f t="shared" si="2"/>
        <v>163.875</v>
      </c>
    </row>
    <row r="159" spans="2:4" x14ac:dyDescent="0.3">
      <c r="B159" s="60" t="s">
        <v>193</v>
      </c>
      <c r="C159" s="60">
        <v>139</v>
      </c>
      <c r="D159" s="62">
        <f t="shared" si="2"/>
        <v>132.05000000000001</v>
      </c>
    </row>
    <row r="160" spans="2:4" x14ac:dyDescent="0.3">
      <c r="B160" s="60" t="s">
        <v>194</v>
      </c>
      <c r="C160" s="60">
        <v>232.3</v>
      </c>
      <c r="D160" s="62">
        <f t="shared" si="2"/>
        <v>220.685</v>
      </c>
    </row>
    <row r="161" spans="2:4" x14ac:dyDescent="0.3">
      <c r="B161" s="60" t="s">
        <v>195</v>
      </c>
      <c r="C161" s="60">
        <v>239</v>
      </c>
      <c r="D161" s="62">
        <f t="shared" si="2"/>
        <v>227.05</v>
      </c>
    </row>
    <row r="162" spans="2:4" x14ac:dyDescent="0.3">
      <c r="B162" s="60" t="s">
        <v>196</v>
      </c>
      <c r="C162" s="60"/>
      <c r="D162" s="62">
        <f t="shared" si="2"/>
        <v>0</v>
      </c>
    </row>
    <row r="163" spans="2:4" x14ac:dyDescent="0.3">
      <c r="B163" s="60" t="s">
        <v>197</v>
      </c>
      <c r="C163" s="60">
        <v>199</v>
      </c>
      <c r="D163" s="62">
        <f t="shared" si="2"/>
        <v>189.05</v>
      </c>
    </row>
    <row r="164" spans="2:4" x14ac:dyDescent="0.3">
      <c r="B164" s="60" t="s">
        <v>198</v>
      </c>
      <c r="C164" s="60">
        <v>349</v>
      </c>
      <c r="D164" s="62">
        <f t="shared" si="2"/>
        <v>331.55</v>
      </c>
    </row>
    <row r="165" spans="2:4" x14ac:dyDescent="0.3">
      <c r="B165" s="60" t="s">
        <v>199</v>
      </c>
      <c r="C165" s="60">
        <v>329</v>
      </c>
      <c r="D165" s="62">
        <f t="shared" si="2"/>
        <v>312.55</v>
      </c>
    </row>
    <row r="166" spans="2:4" x14ac:dyDescent="0.3">
      <c r="B166" s="60" t="s">
        <v>200</v>
      </c>
      <c r="C166" s="60">
        <v>299</v>
      </c>
      <c r="D166" s="62">
        <f t="shared" ref="D166:D229" si="3">C166-(C166*(5/100))</f>
        <v>284.05</v>
      </c>
    </row>
    <row r="167" spans="2:4" x14ac:dyDescent="0.3">
      <c r="B167" s="60" t="s">
        <v>201</v>
      </c>
      <c r="C167" s="60">
        <v>199</v>
      </c>
      <c r="D167" s="62">
        <f t="shared" si="3"/>
        <v>189.05</v>
      </c>
    </row>
    <row r="168" spans="2:4" x14ac:dyDescent="0.3">
      <c r="B168" s="60" t="s">
        <v>202</v>
      </c>
      <c r="C168" s="60">
        <v>299</v>
      </c>
      <c r="D168" s="62">
        <f t="shared" si="3"/>
        <v>284.05</v>
      </c>
    </row>
    <row r="169" spans="2:4" x14ac:dyDescent="0.3">
      <c r="B169" s="60" t="s">
        <v>203</v>
      </c>
      <c r="C169" s="60">
        <v>229</v>
      </c>
      <c r="D169" s="62">
        <f t="shared" si="3"/>
        <v>217.55</v>
      </c>
    </row>
    <row r="170" spans="2:4" x14ac:dyDescent="0.3">
      <c r="B170" s="60" t="s">
        <v>204</v>
      </c>
      <c r="C170" s="60">
        <v>149</v>
      </c>
      <c r="D170" s="62">
        <f t="shared" si="3"/>
        <v>141.55000000000001</v>
      </c>
    </row>
    <row r="171" spans="2:4" x14ac:dyDescent="0.3">
      <c r="B171" s="60" t="s">
        <v>205</v>
      </c>
      <c r="C171" s="60">
        <v>229</v>
      </c>
      <c r="D171" s="62">
        <f t="shared" si="3"/>
        <v>217.55</v>
      </c>
    </row>
    <row r="172" spans="2:4" x14ac:dyDescent="0.3">
      <c r="B172" s="60" t="s">
        <v>206</v>
      </c>
      <c r="C172" s="60">
        <v>109</v>
      </c>
      <c r="D172" s="62">
        <f t="shared" si="3"/>
        <v>103.55</v>
      </c>
    </row>
    <row r="173" spans="2:4" x14ac:dyDescent="0.3">
      <c r="B173" s="60" t="s">
        <v>207</v>
      </c>
      <c r="C173" s="60">
        <v>349</v>
      </c>
      <c r="D173" s="62">
        <f t="shared" si="3"/>
        <v>331.55</v>
      </c>
    </row>
    <row r="174" spans="2:4" x14ac:dyDescent="0.3">
      <c r="B174" s="60" t="s">
        <v>208</v>
      </c>
      <c r="C174" s="60">
        <v>429</v>
      </c>
      <c r="D174" s="62">
        <f t="shared" si="3"/>
        <v>407.55</v>
      </c>
    </row>
    <row r="175" spans="2:4" x14ac:dyDescent="0.3">
      <c r="B175" s="60" t="s">
        <v>209</v>
      </c>
      <c r="C175" s="60">
        <v>299</v>
      </c>
      <c r="D175" s="62">
        <f t="shared" si="3"/>
        <v>284.05</v>
      </c>
    </row>
    <row r="176" spans="2:4" x14ac:dyDescent="0.3">
      <c r="B176" s="60" t="s">
        <v>210</v>
      </c>
      <c r="C176" s="60">
        <v>249</v>
      </c>
      <c r="D176" s="62">
        <f t="shared" si="3"/>
        <v>236.55</v>
      </c>
    </row>
    <row r="177" spans="2:4" x14ac:dyDescent="0.3">
      <c r="B177" s="60" t="s">
        <v>211</v>
      </c>
      <c r="C177" s="60">
        <v>229</v>
      </c>
      <c r="D177" s="62">
        <f t="shared" si="3"/>
        <v>217.55</v>
      </c>
    </row>
    <row r="178" spans="2:4" x14ac:dyDescent="0.3">
      <c r="B178" s="60" t="s">
        <v>212</v>
      </c>
      <c r="C178" s="60">
        <v>329</v>
      </c>
      <c r="D178" s="62">
        <f t="shared" si="3"/>
        <v>312.55</v>
      </c>
    </row>
    <row r="179" spans="2:4" x14ac:dyDescent="0.3">
      <c r="B179" s="60" t="s">
        <v>213</v>
      </c>
      <c r="C179" s="60">
        <v>499</v>
      </c>
      <c r="D179" s="62">
        <f t="shared" si="3"/>
        <v>474.05</v>
      </c>
    </row>
    <row r="180" spans="2:4" x14ac:dyDescent="0.3">
      <c r="B180" s="60" t="s">
        <v>214</v>
      </c>
      <c r="C180" s="60">
        <v>249</v>
      </c>
      <c r="D180" s="62">
        <f t="shared" si="3"/>
        <v>236.55</v>
      </c>
    </row>
    <row r="181" spans="2:4" x14ac:dyDescent="0.3">
      <c r="B181" s="60" t="s">
        <v>215</v>
      </c>
      <c r="C181" s="60">
        <v>149</v>
      </c>
      <c r="D181" s="62">
        <f t="shared" si="3"/>
        <v>141.55000000000001</v>
      </c>
    </row>
    <row r="182" spans="2:4" x14ac:dyDescent="0.3">
      <c r="B182" s="60" t="s">
        <v>216</v>
      </c>
      <c r="C182" s="60">
        <v>129</v>
      </c>
      <c r="D182" s="62">
        <f t="shared" si="3"/>
        <v>122.55</v>
      </c>
    </row>
    <row r="183" spans="2:4" x14ac:dyDescent="0.3">
      <c r="B183" s="60" t="s">
        <v>217</v>
      </c>
      <c r="C183" s="60">
        <v>199</v>
      </c>
      <c r="D183" s="62">
        <f t="shared" si="3"/>
        <v>189.05</v>
      </c>
    </row>
    <row r="184" spans="2:4" x14ac:dyDescent="0.3">
      <c r="B184" s="60" t="s">
        <v>218</v>
      </c>
      <c r="C184" s="60">
        <v>299</v>
      </c>
      <c r="D184" s="62">
        <f t="shared" si="3"/>
        <v>284.05</v>
      </c>
    </row>
    <row r="185" spans="2:4" x14ac:dyDescent="0.3">
      <c r="B185" s="60" t="s">
        <v>219</v>
      </c>
      <c r="C185" s="60">
        <v>299</v>
      </c>
      <c r="D185" s="62">
        <f t="shared" si="3"/>
        <v>284.05</v>
      </c>
    </row>
    <row r="186" spans="2:4" x14ac:dyDescent="0.3">
      <c r="B186" s="60" t="s">
        <v>220</v>
      </c>
      <c r="C186" s="60">
        <v>349</v>
      </c>
      <c r="D186" s="62">
        <f t="shared" si="3"/>
        <v>331.55</v>
      </c>
    </row>
    <row r="187" spans="2:4" x14ac:dyDescent="0.3">
      <c r="B187" s="60" t="s">
        <v>221</v>
      </c>
      <c r="C187" s="60">
        <v>199</v>
      </c>
      <c r="D187" s="62">
        <f t="shared" si="3"/>
        <v>189.05</v>
      </c>
    </row>
    <row r="188" spans="2:4" x14ac:dyDescent="0.3">
      <c r="B188" s="60" t="s">
        <v>222</v>
      </c>
      <c r="C188" s="60">
        <v>249</v>
      </c>
      <c r="D188" s="62">
        <f t="shared" si="3"/>
        <v>236.55</v>
      </c>
    </row>
    <row r="189" spans="2:4" x14ac:dyDescent="0.3">
      <c r="B189" s="60" t="s">
        <v>223</v>
      </c>
      <c r="C189" s="60">
        <v>199</v>
      </c>
      <c r="D189" s="62">
        <f t="shared" si="3"/>
        <v>189.05</v>
      </c>
    </row>
    <row r="190" spans="2:4" x14ac:dyDescent="0.3">
      <c r="B190" s="60" t="s">
        <v>224</v>
      </c>
      <c r="C190" s="60">
        <v>269</v>
      </c>
      <c r="D190" s="62">
        <f t="shared" si="3"/>
        <v>255.55</v>
      </c>
    </row>
    <row r="191" spans="2:4" x14ac:dyDescent="0.3">
      <c r="B191" s="60" t="s">
        <v>225</v>
      </c>
      <c r="C191" s="60">
        <v>199</v>
      </c>
      <c r="D191" s="62">
        <f t="shared" si="3"/>
        <v>189.05</v>
      </c>
    </row>
    <row r="192" spans="2:4" x14ac:dyDescent="0.3">
      <c r="B192" s="60" t="s">
        <v>226</v>
      </c>
      <c r="C192" s="60">
        <v>149</v>
      </c>
      <c r="D192" s="62">
        <f t="shared" si="3"/>
        <v>141.55000000000001</v>
      </c>
    </row>
    <row r="193" spans="2:4" x14ac:dyDescent="0.3">
      <c r="B193" s="60" t="s">
        <v>227</v>
      </c>
      <c r="C193" s="60">
        <v>129</v>
      </c>
      <c r="D193" s="62">
        <f t="shared" si="3"/>
        <v>122.55</v>
      </c>
    </row>
    <row r="194" spans="2:4" x14ac:dyDescent="0.3">
      <c r="B194" s="60" t="s">
        <v>228</v>
      </c>
      <c r="C194" s="60">
        <v>169</v>
      </c>
      <c r="D194" s="62">
        <f t="shared" si="3"/>
        <v>160.55000000000001</v>
      </c>
    </row>
    <row r="195" spans="2:4" x14ac:dyDescent="0.3">
      <c r="B195" s="60" t="s">
        <v>229</v>
      </c>
      <c r="C195" s="60">
        <v>139</v>
      </c>
      <c r="D195" s="62">
        <f t="shared" si="3"/>
        <v>132.05000000000001</v>
      </c>
    </row>
    <row r="196" spans="2:4" x14ac:dyDescent="0.3">
      <c r="B196" s="60" t="s">
        <v>230</v>
      </c>
      <c r="C196" s="60">
        <v>109</v>
      </c>
      <c r="D196" s="62">
        <f t="shared" si="3"/>
        <v>103.55</v>
      </c>
    </row>
    <row r="197" spans="2:4" x14ac:dyDescent="0.3">
      <c r="B197" s="60" t="s">
        <v>231</v>
      </c>
      <c r="C197" s="60">
        <v>149</v>
      </c>
      <c r="D197" s="62">
        <f t="shared" si="3"/>
        <v>141.55000000000001</v>
      </c>
    </row>
    <row r="198" spans="2:4" x14ac:dyDescent="0.3">
      <c r="B198" s="60" t="s">
        <v>232</v>
      </c>
      <c r="C198" s="60">
        <v>199</v>
      </c>
      <c r="D198" s="62">
        <f t="shared" si="3"/>
        <v>189.05</v>
      </c>
    </row>
    <row r="199" spans="2:4" x14ac:dyDescent="0.3">
      <c r="B199" s="60" t="s">
        <v>233</v>
      </c>
      <c r="C199" s="60">
        <v>199</v>
      </c>
      <c r="D199" s="62">
        <f t="shared" si="3"/>
        <v>189.05</v>
      </c>
    </row>
    <row r="200" spans="2:4" x14ac:dyDescent="0.3">
      <c r="B200" s="60" t="s">
        <v>234</v>
      </c>
      <c r="C200" s="60">
        <v>129</v>
      </c>
      <c r="D200" s="62">
        <f t="shared" si="3"/>
        <v>122.55</v>
      </c>
    </row>
    <row r="201" spans="2:4" x14ac:dyDescent="0.3">
      <c r="B201" s="60" t="s">
        <v>235</v>
      </c>
      <c r="C201" s="60">
        <v>69</v>
      </c>
      <c r="D201" s="62">
        <f t="shared" si="3"/>
        <v>65.55</v>
      </c>
    </row>
    <row r="202" spans="2:4" x14ac:dyDescent="0.3">
      <c r="B202" s="60" t="s">
        <v>236</v>
      </c>
      <c r="C202" s="60">
        <v>149</v>
      </c>
      <c r="D202" s="62">
        <f t="shared" si="3"/>
        <v>141.55000000000001</v>
      </c>
    </row>
    <row r="203" spans="2:4" x14ac:dyDescent="0.3">
      <c r="B203" s="60" t="s">
        <v>237</v>
      </c>
      <c r="C203" s="60">
        <v>249</v>
      </c>
      <c r="D203" s="62">
        <f t="shared" si="3"/>
        <v>236.55</v>
      </c>
    </row>
    <row r="204" spans="2:4" x14ac:dyDescent="0.3">
      <c r="B204" s="60" t="s">
        <v>238</v>
      </c>
      <c r="C204" s="60">
        <v>199</v>
      </c>
      <c r="D204" s="62">
        <f t="shared" si="3"/>
        <v>189.05</v>
      </c>
    </row>
    <row r="205" spans="2:4" x14ac:dyDescent="0.3">
      <c r="B205" s="60" t="s">
        <v>239</v>
      </c>
      <c r="C205" s="60">
        <v>199</v>
      </c>
      <c r="D205" s="62">
        <f t="shared" si="3"/>
        <v>189.05</v>
      </c>
    </row>
    <row r="206" spans="2:4" x14ac:dyDescent="0.3">
      <c r="B206" s="60" t="s">
        <v>240</v>
      </c>
      <c r="C206" s="60">
        <v>249</v>
      </c>
      <c r="D206" s="62">
        <f t="shared" si="3"/>
        <v>236.55</v>
      </c>
    </row>
    <row r="207" spans="2:4" x14ac:dyDescent="0.3">
      <c r="B207" s="60" t="s">
        <v>241</v>
      </c>
      <c r="C207" s="60">
        <v>99</v>
      </c>
      <c r="D207" s="62">
        <f t="shared" si="3"/>
        <v>94.05</v>
      </c>
    </row>
    <row r="208" spans="2:4" x14ac:dyDescent="0.3">
      <c r="B208" s="60" t="s">
        <v>242</v>
      </c>
      <c r="C208" s="60">
        <v>149</v>
      </c>
      <c r="D208" s="62">
        <f t="shared" si="3"/>
        <v>141.55000000000001</v>
      </c>
    </row>
    <row r="209" spans="2:4" x14ac:dyDescent="0.3">
      <c r="B209" s="60" t="s">
        <v>243</v>
      </c>
      <c r="C209" s="60">
        <v>149</v>
      </c>
      <c r="D209" s="62">
        <f t="shared" si="3"/>
        <v>141.55000000000001</v>
      </c>
    </row>
    <row r="210" spans="2:4" x14ac:dyDescent="0.3">
      <c r="B210" s="60" t="s">
        <v>244</v>
      </c>
      <c r="C210" s="60">
        <v>299</v>
      </c>
      <c r="D210" s="62">
        <f t="shared" si="3"/>
        <v>284.05</v>
      </c>
    </row>
    <row r="211" spans="2:4" x14ac:dyDescent="0.3">
      <c r="B211" s="60" t="s">
        <v>245</v>
      </c>
      <c r="C211" s="60">
        <v>229</v>
      </c>
      <c r="D211" s="62">
        <f t="shared" si="3"/>
        <v>217.55</v>
      </c>
    </row>
    <row r="212" spans="2:4" x14ac:dyDescent="0.3">
      <c r="B212" s="60" t="s">
        <v>246</v>
      </c>
      <c r="C212" s="60">
        <v>199</v>
      </c>
      <c r="D212" s="62">
        <f t="shared" si="3"/>
        <v>189.05</v>
      </c>
    </row>
    <row r="213" spans="2:4" x14ac:dyDescent="0.3">
      <c r="B213" s="60" t="s">
        <v>247</v>
      </c>
      <c r="C213" s="60">
        <v>149</v>
      </c>
      <c r="D213" s="62">
        <f t="shared" si="3"/>
        <v>141.55000000000001</v>
      </c>
    </row>
    <row r="214" spans="2:4" x14ac:dyDescent="0.3">
      <c r="B214" s="60" t="s">
        <v>248</v>
      </c>
      <c r="C214" s="60">
        <v>129</v>
      </c>
      <c r="D214" s="62">
        <f t="shared" si="3"/>
        <v>122.55</v>
      </c>
    </row>
    <row r="215" spans="2:4" x14ac:dyDescent="0.3">
      <c r="B215" s="60" t="s">
        <v>249</v>
      </c>
      <c r="C215" s="60">
        <v>299</v>
      </c>
      <c r="D215" s="62">
        <f t="shared" si="3"/>
        <v>284.05</v>
      </c>
    </row>
    <row r="216" spans="2:4" x14ac:dyDescent="0.3">
      <c r="B216" s="60" t="s">
        <v>250</v>
      </c>
      <c r="C216" s="60">
        <v>149</v>
      </c>
      <c r="D216" s="62">
        <f t="shared" si="3"/>
        <v>141.55000000000001</v>
      </c>
    </row>
    <row r="217" spans="2:4" x14ac:dyDescent="0.3">
      <c r="B217" s="60" t="s">
        <v>251</v>
      </c>
      <c r="C217" s="60">
        <v>159</v>
      </c>
      <c r="D217" s="62">
        <f t="shared" si="3"/>
        <v>151.05000000000001</v>
      </c>
    </row>
    <row r="218" spans="2:4" x14ac:dyDescent="0.3">
      <c r="B218" s="60" t="s">
        <v>252</v>
      </c>
      <c r="C218" s="60">
        <v>149</v>
      </c>
      <c r="D218" s="62">
        <f t="shared" si="3"/>
        <v>141.55000000000001</v>
      </c>
    </row>
    <row r="219" spans="2:4" x14ac:dyDescent="0.3">
      <c r="B219" s="60" t="s">
        <v>253</v>
      </c>
      <c r="C219" s="60">
        <v>99</v>
      </c>
      <c r="D219" s="62">
        <f t="shared" si="3"/>
        <v>94.05</v>
      </c>
    </row>
    <row r="220" spans="2:4" x14ac:dyDescent="0.3">
      <c r="B220" s="60" t="s">
        <v>254</v>
      </c>
      <c r="C220" s="60">
        <v>169</v>
      </c>
      <c r="D220" s="62">
        <f t="shared" si="3"/>
        <v>160.55000000000001</v>
      </c>
    </row>
    <row r="221" spans="2:4" x14ac:dyDescent="0.3">
      <c r="B221" s="60" t="s">
        <v>255</v>
      </c>
      <c r="C221" s="60">
        <v>199</v>
      </c>
      <c r="D221" s="62">
        <f t="shared" si="3"/>
        <v>189.05</v>
      </c>
    </row>
    <row r="222" spans="2:4" x14ac:dyDescent="0.3">
      <c r="B222" s="60" t="s">
        <v>256</v>
      </c>
      <c r="C222" s="60">
        <v>329</v>
      </c>
      <c r="D222" s="62">
        <f t="shared" si="3"/>
        <v>312.55</v>
      </c>
    </row>
    <row r="223" spans="2:4" x14ac:dyDescent="0.3">
      <c r="B223" s="60" t="s">
        <v>257</v>
      </c>
      <c r="C223" s="60">
        <v>349</v>
      </c>
      <c r="D223" s="62">
        <f t="shared" si="3"/>
        <v>331.55</v>
      </c>
    </row>
    <row r="224" spans="2:4" x14ac:dyDescent="0.3">
      <c r="B224" s="60" t="s">
        <v>258</v>
      </c>
      <c r="C224" s="60">
        <v>229</v>
      </c>
      <c r="D224" s="62">
        <f t="shared" si="3"/>
        <v>217.55</v>
      </c>
    </row>
    <row r="225" spans="2:4" x14ac:dyDescent="0.3">
      <c r="B225" s="60" t="s">
        <v>259</v>
      </c>
      <c r="C225" s="60">
        <v>299</v>
      </c>
      <c r="D225" s="62">
        <f t="shared" si="3"/>
        <v>284.05</v>
      </c>
    </row>
    <row r="226" spans="2:4" x14ac:dyDescent="0.3">
      <c r="B226" s="60" t="s">
        <v>260</v>
      </c>
      <c r="C226" s="60">
        <v>149</v>
      </c>
      <c r="D226" s="62">
        <f t="shared" si="3"/>
        <v>141.55000000000001</v>
      </c>
    </row>
    <row r="227" spans="2:4" x14ac:dyDescent="0.3">
      <c r="B227" s="60" t="s">
        <v>575</v>
      </c>
      <c r="C227" s="60">
        <v>229</v>
      </c>
      <c r="D227" s="62">
        <f t="shared" si="3"/>
        <v>217.55</v>
      </c>
    </row>
    <row r="228" spans="2:4" x14ac:dyDescent="0.3">
      <c r="B228" s="60" t="s">
        <v>261</v>
      </c>
      <c r="C228" s="60">
        <v>229</v>
      </c>
      <c r="D228" s="62">
        <f t="shared" si="3"/>
        <v>217.55</v>
      </c>
    </row>
    <row r="229" spans="2:4" x14ac:dyDescent="0.3">
      <c r="B229" s="60" t="s">
        <v>262</v>
      </c>
      <c r="C229" s="60">
        <v>299</v>
      </c>
      <c r="D229" s="62">
        <f t="shared" si="3"/>
        <v>284.05</v>
      </c>
    </row>
    <row r="230" spans="2:4" x14ac:dyDescent="0.3">
      <c r="B230" s="60" t="s">
        <v>263</v>
      </c>
      <c r="C230" s="60">
        <v>299</v>
      </c>
      <c r="D230" s="62">
        <f t="shared" ref="D230:D293" si="4">C230-(C230*(5/100))</f>
        <v>284.05</v>
      </c>
    </row>
    <row r="231" spans="2:4" x14ac:dyDescent="0.3">
      <c r="B231" s="60" t="s">
        <v>264</v>
      </c>
      <c r="C231" s="60">
        <v>129</v>
      </c>
      <c r="D231" s="62">
        <f t="shared" si="4"/>
        <v>122.55</v>
      </c>
    </row>
    <row r="232" spans="2:4" x14ac:dyDescent="0.3">
      <c r="B232" s="60" t="s">
        <v>265</v>
      </c>
      <c r="C232" s="60">
        <v>129</v>
      </c>
      <c r="D232" s="62">
        <f t="shared" si="4"/>
        <v>122.55</v>
      </c>
    </row>
    <row r="233" spans="2:4" x14ac:dyDescent="0.3">
      <c r="B233" s="60" t="s">
        <v>266</v>
      </c>
      <c r="C233" s="60">
        <v>129</v>
      </c>
      <c r="D233" s="62">
        <f t="shared" si="4"/>
        <v>122.55</v>
      </c>
    </row>
    <row r="234" spans="2:4" x14ac:dyDescent="0.3">
      <c r="B234" s="60" t="s">
        <v>267</v>
      </c>
      <c r="C234" s="60">
        <v>299</v>
      </c>
      <c r="D234" s="62">
        <f t="shared" si="4"/>
        <v>284.05</v>
      </c>
    </row>
    <row r="235" spans="2:4" x14ac:dyDescent="0.3">
      <c r="B235" s="60" t="s">
        <v>268</v>
      </c>
      <c r="C235" s="60">
        <v>229</v>
      </c>
      <c r="D235" s="62">
        <f t="shared" si="4"/>
        <v>217.55</v>
      </c>
    </row>
    <row r="236" spans="2:4" x14ac:dyDescent="0.3">
      <c r="B236" s="60" t="s">
        <v>269</v>
      </c>
      <c r="C236" s="60">
        <v>299</v>
      </c>
      <c r="D236" s="62">
        <f t="shared" si="4"/>
        <v>284.05</v>
      </c>
    </row>
    <row r="237" spans="2:4" x14ac:dyDescent="0.3">
      <c r="B237" s="60" t="s">
        <v>270</v>
      </c>
      <c r="C237" s="60">
        <v>229</v>
      </c>
      <c r="D237" s="62">
        <f t="shared" si="4"/>
        <v>217.55</v>
      </c>
    </row>
    <row r="238" spans="2:4" x14ac:dyDescent="0.3">
      <c r="B238" s="60" t="s">
        <v>271</v>
      </c>
      <c r="C238" s="60">
        <v>249</v>
      </c>
      <c r="D238" s="62">
        <f t="shared" si="4"/>
        <v>236.55</v>
      </c>
    </row>
    <row r="239" spans="2:4" x14ac:dyDescent="0.3">
      <c r="B239" s="60" t="s">
        <v>272</v>
      </c>
      <c r="C239" s="60">
        <v>399</v>
      </c>
      <c r="D239" s="62">
        <f t="shared" si="4"/>
        <v>379.05</v>
      </c>
    </row>
    <row r="240" spans="2:4" x14ac:dyDescent="0.3">
      <c r="B240" s="60" t="s">
        <v>273</v>
      </c>
      <c r="C240" s="60">
        <v>229</v>
      </c>
      <c r="D240" s="62">
        <f t="shared" si="4"/>
        <v>217.55</v>
      </c>
    </row>
    <row r="241" spans="2:4" x14ac:dyDescent="0.3">
      <c r="B241" s="60" t="s">
        <v>274</v>
      </c>
      <c r="C241" s="60">
        <v>349</v>
      </c>
      <c r="D241" s="62">
        <f t="shared" si="4"/>
        <v>331.55</v>
      </c>
    </row>
    <row r="242" spans="2:4" x14ac:dyDescent="0.3">
      <c r="B242" s="60" t="s">
        <v>275</v>
      </c>
      <c r="C242" s="60">
        <v>199</v>
      </c>
      <c r="D242" s="62">
        <f t="shared" si="4"/>
        <v>189.05</v>
      </c>
    </row>
    <row r="243" spans="2:4" x14ac:dyDescent="0.3">
      <c r="B243" s="60" t="s">
        <v>276</v>
      </c>
      <c r="C243" s="60">
        <v>169</v>
      </c>
      <c r="D243" s="62">
        <f t="shared" si="4"/>
        <v>160.55000000000001</v>
      </c>
    </row>
    <row r="244" spans="2:4" x14ac:dyDescent="0.3">
      <c r="B244" s="60" t="s">
        <v>277</v>
      </c>
      <c r="C244" s="60">
        <v>349</v>
      </c>
      <c r="D244" s="62">
        <f t="shared" si="4"/>
        <v>331.55</v>
      </c>
    </row>
    <row r="245" spans="2:4" x14ac:dyDescent="0.3">
      <c r="B245" s="60" t="s">
        <v>278</v>
      </c>
      <c r="C245" s="60">
        <v>349</v>
      </c>
      <c r="D245" s="62">
        <f t="shared" si="4"/>
        <v>331.55</v>
      </c>
    </row>
    <row r="246" spans="2:4" x14ac:dyDescent="0.3">
      <c r="B246" s="60" t="s">
        <v>279</v>
      </c>
      <c r="C246" s="60">
        <v>329</v>
      </c>
      <c r="D246" s="62">
        <f t="shared" si="4"/>
        <v>312.55</v>
      </c>
    </row>
    <row r="247" spans="2:4" x14ac:dyDescent="0.3">
      <c r="B247" s="60" t="s">
        <v>280</v>
      </c>
      <c r="C247" s="60">
        <v>229</v>
      </c>
      <c r="D247" s="62">
        <f t="shared" si="4"/>
        <v>217.55</v>
      </c>
    </row>
    <row r="248" spans="2:4" x14ac:dyDescent="0.3">
      <c r="B248" s="60" t="s">
        <v>281</v>
      </c>
      <c r="C248" s="60">
        <v>199</v>
      </c>
      <c r="D248" s="62">
        <f t="shared" si="4"/>
        <v>189.05</v>
      </c>
    </row>
    <row r="249" spans="2:4" x14ac:dyDescent="0.3">
      <c r="B249" s="60" t="s">
        <v>282</v>
      </c>
      <c r="C249" s="60">
        <v>249</v>
      </c>
      <c r="D249" s="62">
        <f t="shared" si="4"/>
        <v>236.55</v>
      </c>
    </row>
    <row r="250" spans="2:4" x14ac:dyDescent="0.3">
      <c r="B250" s="60" t="s">
        <v>283</v>
      </c>
      <c r="C250" s="60">
        <v>249</v>
      </c>
      <c r="D250" s="62">
        <f t="shared" si="4"/>
        <v>236.55</v>
      </c>
    </row>
    <row r="251" spans="2:4" x14ac:dyDescent="0.3">
      <c r="B251" s="60" t="s">
        <v>284</v>
      </c>
      <c r="C251" s="60">
        <v>349</v>
      </c>
      <c r="D251" s="62">
        <f t="shared" si="4"/>
        <v>331.55</v>
      </c>
    </row>
    <row r="252" spans="2:4" x14ac:dyDescent="0.3">
      <c r="B252" s="60" t="s">
        <v>285</v>
      </c>
      <c r="C252" s="60">
        <v>169</v>
      </c>
      <c r="D252" s="62">
        <f t="shared" si="4"/>
        <v>160.55000000000001</v>
      </c>
    </row>
    <row r="253" spans="2:4" x14ac:dyDescent="0.3">
      <c r="B253" s="60" t="s">
        <v>286</v>
      </c>
      <c r="C253" s="60">
        <v>349</v>
      </c>
      <c r="D253" s="62">
        <f t="shared" si="4"/>
        <v>331.55</v>
      </c>
    </row>
    <row r="254" spans="2:4" x14ac:dyDescent="0.3">
      <c r="B254" s="60" t="s">
        <v>287</v>
      </c>
      <c r="C254" s="60">
        <v>299</v>
      </c>
      <c r="D254" s="62">
        <f t="shared" si="4"/>
        <v>284.05</v>
      </c>
    </row>
    <row r="255" spans="2:4" x14ac:dyDescent="0.3">
      <c r="B255" s="60" t="s">
        <v>288</v>
      </c>
      <c r="C255" s="60">
        <v>429</v>
      </c>
      <c r="D255" s="62">
        <f t="shared" si="4"/>
        <v>407.55</v>
      </c>
    </row>
    <row r="256" spans="2:4" x14ac:dyDescent="0.3">
      <c r="B256" s="60" t="s">
        <v>289</v>
      </c>
      <c r="C256" s="60">
        <v>399</v>
      </c>
      <c r="D256" s="62">
        <f t="shared" si="4"/>
        <v>379.05</v>
      </c>
    </row>
    <row r="257" spans="2:4" x14ac:dyDescent="0.3">
      <c r="B257" s="60" t="s">
        <v>290</v>
      </c>
      <c r="C257" s="60">
        <v>349</v>
      </c>
      <c r="D257" s="62">
        <f t="shared" si="4"/>
        <v>331.55</v>
      </c>
    </row>
    <row r="258" spans="2:4" x14ac:dyDescent="0.3">
      <c r="B258" s="60" t="s">
        <v>291</v>
      </c>
      <c r="C258" s="60">
        <v>399</v>
      </c>
      <c r="D258" s="62">
        <f t="shared" si="4"/>
        <v>379.05</v>
      </c>
    </row>
    <row r="259" spans="2:4" x14ac:dyDescent="0.3">
      <c r="B259" s="60" t="s">
        <v>292</v>
      </c>
      <c r="C259" s="60">
        <v>349</v>
      </c>
      <c r="D259" s="62">
        <f t="shared" si="4"/>
        <v>331.55</v>
      </c>
    </row>
    <row r="260" spans="2:4" x14ac:dyDescent="0.3">
      <c r="B260" s="60" t="s">
        <v>293</v>
      </c>
      <c r="C260" s="60">
        <v>329</v>
      </c>
      <c r="D260" s="62">
        <f t="shared" si="4"/>
        <v>312.55</v>
      </c>
    </row>
    <row r="261" spans="2:4" x14ac:dyDescent="0.3">
      <c r="B261" s="60" t="s">
        <v>294</v>
      </c>
      <c r="C261" s="60">
        <v>349</v>
      </c>
      <c r="D261" s="62">
        <f t="shared" si="4"/>
        <v>331.55</v>
      </c>
    </row>
    <row r="262" spans="2:4" x14ac:dyDescent="0.3">
      <c r="B262" s="60" t="s">
        <v>295</v>
      </c>
      <c r="C262" s="60">
        <v>149</v>
      </c>
      <c r="D262" s="62">
        <f t="shared" si="4"/>
        <v>141.55000000000001</v>
      </c>
    </row>
    <row r="263" spans="2:4" x14ac:dyDescent="0.3">
      <c r="B263" s="60" t="s">
        <v>296</v>
      </c>
      <c r="C263" s="60">
        <v>149</v>
      </c>
      <c r="D263" s="62">
        <f t="shared" si="4"/>
        <v>141.55000000000001</v>
      </c>
    </row>
    <row r="264" spans="2:4" x14ac:dyDescent="0.3">
      <c r="B264" s="60" t="s">
        <v>297</v>
      </c>
      <c r="C264" s="60">
        <v>99</v>
      </c>
      <c r="D264" s="62">
        <f t="shared" si="4"/>
        <v>94.05</v>
      </c>
    </row>
    <row r="265" spans="2:4" x14ac:dyDescent="0.3">
      <c r="B265" s="60" t="s">
        <v>298</v>
      </c>
      <c r="C265" s="60">
        <v>299</v>
      </c>
      <c r="D265" s="62">
        <f t="shared" si="4"/>
        <v>284.05</v>
      </c>
    </row>
    <row r="266" spans="2:4" x14ac:dyDescent="0.3">
      <c r="B266" s="60" t="s">
        <v>299</v>
      </c>
      <c r="C266" s="60">
        <v>249</v>
      </c>
      <c r="D266" s="62">
        <f t="shared" si="4"/>
        <v>236.55</v>
      </c>
    </row>
    <row r="267" spans="2:4" x14ac:dyDescent="0.3">
      <c r="B267" s="60" t="s">
        <v>300</v>
      </c>
      <c r="C267" s="60">
        <v>799</v>
      </c>
      <c r="D267" s="62">
        <f t="shared" si="4"/>
        <v>759.05</v>
      </c>
    </row>
    <row r="268" spans="2:4" x14ac:dyDescent="0.3">
      <c r="B268" s="60" t="s">
        <v>301</v>
      </c>
      <c r="C268" s="60">
        <v>229</v>
      </c>
      <c r="D268" s="62">
        <f t="shared" si="4"/>
        <v>217.55</v>
      </c>
    </row>
    <row r="269" spans="2:4" x14ac:dyDescent="0.3">
      <c r="B269" s="60" t="s">
        <v>302</v>
      </c>
      <c r="C269" s="60">
        <v>199</v>
      </c>
      <c r="D269" s="62">
        <f t="shared" si="4"/>
        <v>189.05</v>
      </c>
    </row>
    <row r="270" spans="2:4" x14ac:dyDescent="0.3">
      <c r="B270" s="60" t="s">
        <v>303</v>
      </c>
      <c r="C270" s="60">
        <v>299</v>
      </c>
      <c r="D270" s="62">
        <f t="shared" si="4"/>
        <v>284.05</v>
      </c>
    </row>
    <row r="271" spans="2:4" x14ac:dyDescent="0.3">
      <c r="B271" s="60" t="s">
        <v>304</v>
      </c>
      <c r="C271" s="60">
        <v>199</v>
      </c>
      <c r="D271" s="62">
        <f t="shared" si="4"/>
        <v>189.05</v>
      </c>
    </row>
    <row r="272" spans="2:4" x14ac:dyDescent="0.3">
      <c r="B272" s="60" t="s">
        <v>305</v>
      </c>
      <c r="C272" s="60">
        <v>229</v>
      </c>
      <c r="D272" s="62">
        <f t="shared" si="4"/>
        <v>217.55</v>
      </c>
    </row>
    <row r="273" spans="2:4" x14ac:dyDescent="0.3">
      <c r="B273" s="60" t="s">
        <v>306</v>
      </c>
      <c r="C273" s="60">
        <v>199</v>
      </c>
      <c r="D273" s="62">
        <f t="shared" si="4"/>
        <v>189.05</v>
      </c>
    </row>
    <row r="274" spans="2:4" x14ac:dyDescent="0.3">
      <c r="B274" s="60" t="s">
        <v>307</v>
      </c>
      <c r="C274" s="60">
        <v>199</v>
      </c>
      <c r="D274" s="62">
        <f t="shared" si="4"/>
        <v>189.05</v>
      </c>
    </row>
    <row r="275" spans="2:4" x14ac:dyDescent="0.3">
      <c r="B275" s="60" t="s">
        <v>308</v>
      </c>
      <c r="C275" s="60">
        <v>299</v>
      </c>
      <c r="D275" s="62">
        <f t="shared" si="4"/>
        <v>284.05</v>
      </c>
    </row>
    <row r="276" spans="2:4" x14ac:dyDescent="0.3">
      <c r="B276" s="60" t="s">
        <v>309</v>
      </c>
      <c r="C276" s="60">
        <v>299</v>
      </c>
      <c r="D276" s="62">
        <f t="shared" si="4"/>
        <v>284.05</v>
      </c>
    </row>
    <row r="277" spans="2:4" x14ac:dyDescent="0.3">
      <c r="B277" s="60" t="s">
        <v>310</v>
      </c>
      <c r="C277" s="60">
        <v>249</v>
      </c>
      <c r="D277" s="62">
        <f t="shared" si="4"/>
        <v>236.55</v>
      </c>
    </row>
    <row r="278" spans="2:4" x14ac:dyDescent="0.3">
      <c r="B278" s="60" t="s">
        <v>311</v>
      </c>
      <c r="C278" s="60"/>
      <c r="D278" s="62">
        <f t="shared" si="4"/>
        <v>0</v>
      </c>
    </row>
    <row r="279" spans="2:4" x14ac:dyDescent="0.3">
      <c r="B279" s="60" t="s">
        <v>312</v>
      </c>
      <c r="C279" s="60">
        <v>199</v>
      </c>
      <c r="D279" s="62">
        <f t="shared" si="4"/>
        <v>189.05</v>
      </c>
    </row>
    <row r="280" spans="2:4" x14ac:dyDescent="0.3">
      <c r="B280" s="60" t="s">
        <v>313</v>
      </c>
      <c r="C280" s="60">
        <v>169</v>
      </c>
      <c r="D280" s="62">
        <f t="shared" si="4"/>
        <v>160.55000000000001</v>
      </c>
    </row>
    <row r="281" spans="2:4" x14ac:dyDescent="0.3">
      <c r="B281" s="60" t="s">
        <v>314</v>
      </c>
      <c r="C281" s="60">
        <v>249</v>
      </c>
      <c r="D281" s="62">
        <f t="shared" si="4"/>
        <v>236.55</v>
      </c>
    </row>
    <row r="282" spans="2:4" x14ac:dyDescent="0.3">
      <c r="B282" s="60" t="s">
        <v>315</v>
      </c>
      <c r="C282" s="60">
        <v>249</v>
      </c>
      <c r="D282" s="62">
        <f t="shared" si="4"/>
        <v>236.55</v>
      </c>
    </row>
    <row r="283" spans="2:4" x14ac:dyDescent="0.3">
      <c r="B283" s="60" t="s">
        <v>316</v>
      </c>
      <c r="C283" s="60">
        <v>149</v>
      </c>
      <c r="D283" s="62">
        <f t="shared" si="4"/>
        <v>141.55000000000001</v>
      </c>
    </row>
    <row r="284" spans="2:4" x14ac:dyDescent="0.3">
      <c r="B284" s="60" t="s">
        <v>317</v>
      </c>
      <c r="C284" s="60">
        <v>129</v>
      </c>
      <c r="D284" s="62">
        <f t="shared" si="4"/>
        <v>122.55</v>
      </c>
    </row>
    <row r="285" spans="2:4" x14ac:dyDescent="0.3">
      <c r="B285" s="60" t="s">
        <v>318</v>
      </c>
      <c r="C285" s="60">
        <v>99</v>
      </c>
      <c r="D285" s="62">
        <f t="shared" si="4"/>
        <v>94.05</v>
      </c>
    </row>
    <row r="286" spans="2:4" x14ac:dyDescent="0.3">
      <c r="B286" s="60" t="s">
        <v>319</v>
      </c>
      <c r="C286" s="60">
        <v>129</v>
      </c>
      <c r="D286" s="62">
        <f t="shared" si="4"/>
        <v>122.55</v>
      </c>
    </row>
    <row r="287" spans="2:4" x14ac:dyDescent="0.3">
      <c r="B287" s="60" t="s">
        <v>320</v>
      </c>
      <c r="C287" s="60">
        <v>299</v>
      </c>
      <c r="D287" s="62">
        <f t="shared" si="4"/>
        <v>284.05</v>
      </c>
    </row>
    <row r="288" spans="2:4" x14ac:dyDescent="0.3">
      <c r="B288" s="60" t="s">
        <v>321</v>
      </c>
      <c r="C288" s="60">
        <v>199</v>
      </c>
      <c r="D288" s="62">
        <f t="shared" si="4"/>
        <v>189.05</v>
      </c>
    </row>
    <row r="289" spans="2:4" x14ac:dyDescent="0.3">
      <c r="B289" s="60" t="s">
        <v>322</v>
      </c>
      <c r="C289" s="60">
        <v>149</v>
      </c>
      <c r="D289" s="62">
        <f t="shared" si="4"/>
        <v>141.55000000000001</v>
      </c>
    </row>
    <row r="290" spans="2:4" x14ac:dyDescent="0.3">
      <c r="B290" s="60" t="s">
        <v>323</v>
      </c>
      <c r="C290" s="60">
        <v>159</v>
      </c>
      <c r="D290" s="62">
        <f t="shared" si="4"/>
        <v>151.05000000000001</v>
      </c>
    </row>
    <row r="291" spans="2:4" x14ac:dyDescent="0.3">
      <c r="B291" s="60" t="s">
        <v>324</v>
      </c>
      <c r="C291" s="60">
        <v>99</v>
      </c>
      <c r="D291" s="62">
        <f t="shared" si="4"/>
        <v>94.05</v>
      </c>
    </row>
    <row r="292" spans="2:4" x14ac:dyDescent="0.3">
      <c r="B292" s="60" t="s">
        <v>325</v>
      </c>
      <c r="C292" s="60">
        <v>139</v>
      </c>
      <c r="D292" s="62">
        <f t="shared" si="4"/>
        <v>132.05000000000001</v>
      </c>
    </row>
    <row r="293" spans="2:4" x14ac:dyDescent="0.3">
      <c r="B293" s="60" t="s">
        <v>326</v>
      </c>
      <c r="C293" s="60">
        <v>99</v>
      </c>
      <c r="D293" s="62">
        <f t="shared" si="4"/>
        <v>94.05</v>
      </c>
    </row>
    <row r="294" spans="2:4" x14ac:dyDescent="0.3">
      <c r="B294" s="60" t="s">
        <v>327</v>
      </c>
      <c r="C294" s="60">
        <v>179</v>
      </c>
      <c r="D294" s="62">
        <f t="shared" ref="D294:D357" si="5">C294-(C294*(5/100))</f>
        <v>170.05</v>
      </c>
    </row>
    <row r="295" spans="2:4" x14ac:dyDescent="0.3">
      <c r="B295" s="60" t="s">
        <v>328</v>
      </c>
      <c r="C295" s="60">
        <v>199</v>
      </c>
      <c r="D295" s="62">
        <f t="shared" si="5"/>
        <v>189.05</v>
      </c>
    </row>
    <row r="296" spans="2:4" x14ac:dyDescent="0.3">
      <c r="B296" s="60" t="s">
        <v>329</v>
      </c>
      <c r="C296" s="60">
        <v>149</v>
      </c>
      <c r="D296" s="62">
        <f t="shared" si="5"/>
        <v>141.55000000000001</v>
      </c>
    </row>
    <row r="297" spans="2:4" x14ac:dyDescent="0.3">
      <c r="B297" s="60" t="s">
        <v>330</v>
      </c>
      <c r="C297" s="60">
        <v>249</v>
      </c>
      <c r="D297" s="62">
        <f t="shared" si="5"/>
        <v>236.55</v>
      </c>
    </row>
    <row r="298" spans="2:4" x14ac:dyDescent="0.3">
      <c r="B298" s="60" t="s">
        <v>331</v>
      </c>
      <c r="C298" s="60">
        <v>299</v>
      </c>
      <c r="D298" s="62">
        <f t="shared" si="5"/>
        <v>284.05</v>
      </c>
    </row>
    <row r="299" spans="2:4" x14ac:dyDescent="0.3">
      <c r="B299" s="60" t="s">
        <v>332</v>
      </c>
      <c r="C299" s="60">
        <v>199</v>
      </c>
      <c r="D299" s="62">
        <f t="shared" si="5"/>
        <v>189.05</v>
      </c>
    </row>
    <row r="300" spans="2:4" x14ac:dyDescent="0.3">
      <c r="B300" s="60" t="s">
        <v>333</v>
      </c>
      <c r="C300" s="60">
        <v>499</v>
      </c>
      <c r="D300" s="62">
        <f t="shared" si="5"/>
        <v>474.05</v>
      </c>
    </row>
    <row r="301" spans="2:4" x14ac:dyDescent="0.3">
      <c r="B301" s="60" t="s">
        <v>334</v>
      </c>
      <c r="C301" s="60">
        <v>399</v>
      </c>
      <c r="D301" s="62">
        <f t="shared" si="5"/>
        <v>379.05</v>
      </c>
    </row>
    <row r="302" spans="2:4" x14ac:dyDescent="0.3">
      <c r="B302" s="60" t="s">
        <v>335</v>
      </c>
      <c r="C302" s="60">
        <v>149</v>
      </c>
      <c r="D302" s="62">
        <f t="shared" si="5"/>
        <v>141.55000000000001</v>
      </c>
    </row>
    <row r="303" spans="2:4" x14ac:dyDescent="0.3">
      <c r="B303" s="60" t="s">
        <v>336</v>
      </c>
      <c r="C303" s="60">
        <v>299</v>
      </c>
      <c r="D303" s="62">
        <f t="shared" si="5"/>
        <v>284.05</v>
      </c>
    </row>
    <row r="304" spans="2:4" x14ac:dyDescent="0.3">
      <c r="B304" s="60" t="s">
        <v>337</v>
      </c>
      <c r="C304" s="60">
        <v>149</v>
      </c>
      <c r="D304" s="62">
        <f t="shared" si="5"/>
        <v>141.55000000000001</v>
      </c>
    </row>
    <row r="305" spans="2:4" x14ac:dyDescent="0.3">
      <c r="B305" s="60" t="s">
        <v>338</v>
      </c>
      <c r="C305" s="60">
        <v>199</v>
      </c>
      <c r="D305" s="62">
        <f t="shared" si="5"/>
        <v>189.05</v>
      </c>
    </row>
    <row r="306" spans="2:4" x14ac:dyDescent="0.3">
      <c r="B306" s="60" t="s">
        <v>339</v>
      </c>
      <c r="C306" s="60">
        <v>249</v>
      </c>
      <c r="D306" s="62">
        <f t="shared" si="5"/>
        <v>236.55</v>
      </c>
    </row>
    <row r="307" spans="2:4" x14ac:dyDescent="0.3">
      <c r="B307" s="60" t="s">
        <v>340</v>
      </c>
      <c r="C307" s="60">
        <v>249</v>
      </c>
      <c r="D307" s="62">
        <f t="shared" si="5"/>
        <v>236.55</v>
      </c>
    </row>
    <row r="308" spans="2:4" x14ac:dyDescent="0.3">
      <c r="B308" s="60" t="s">
        <v>341</v>
      </c>
      <c r="C308" s="60">
        <v>149</v>
      </c>
      <c r="D308" s="62">
        <f t="shared" si="5"/>
        <v>141.55000000000001</v>
      </c>
    </row>
    <row r="309" spans="2:4" x14ac:dyDescent="0.3">
      <c r="B309" s="60" t="s">
        <v>342</v>
      </c>
      <c r="C309" s="60">
        <v>299</v>
      </c>
      <c r="D309" s="62">
        <f t="shared" si="5"/>
        <v>284.05</v>
      </c>
    </row>
    <row r="310" spans="2:4" x14ac:dyDescent="0.3">
      <c r="B310" s="60" t="s">
        <v>343</v>
      </c>
      <c r="C310" s="60">
        <v>199</v>
      </c>
      <c r="D310" s="62">
        <f t="shared" si="5"/>
        <v>189.05</v>
      </c>
    </row>
    <row r="311" spans="2:4" x14ac:dyDescent="0.3">
      <c r="B311" s="60" t="s">
        <v>344</v>
      </c>
      <c r="C311" s="60">
        <v>299</v>
      </c>
      <c r="D311" s="62">
        <f t="shared" si="5"/>
        <v>284.05</v>
      </c>
    </row>
    <row r="312" spans="2:4" x14ac:dyDescent="0.3">
      <c r="B312" s="60" t="s">
        <v>345</v>
      </c>
      <c r="C312" s="60">
        <v>229</v>
      </c>
      <c r="D312" s="62">
        <f t="shared" si="5"/>
        <v>217.55</v>
      </c>
    </row>
    <row r="313" spans="2:4" x14ac:dyDescent="0.3">
      <c r="B313" s="60" t="s">
        <v>346</v>
      </c>
      <c r="C313" s="60">
        <v>149</v>
      </c>
      <c r="D313" s="62">
        <f t="shared" si="5"/>
        <v>141.55000000000001</v>
      </c>
    </row>
    <row r="314" spans="2:4" x14ac:dyDescent="0.3">
      <c r="B314" s="60" t="s">
        <v>347</v>
      </c>
      <c r="C314" s="60">
        <v>129</v>
      </c>
      <c r="D314" s="62">
        <f t="shared" si="5"/>
        <v>122.55</v>
      </c>
    </row>
    <row r="315" spans="2:4" x14ac:dyDescent="0.3">
      <c r="B315" s="60" t="s">
        <v>348</v>
      </c>
      <c r="C315" s="60">
        <v>109</v>
      </c>
      <c r="D315" s="62">
        <f t="shared" si="5"/>
        <v>103.55</v>
      </c>
    </row>
    <row r="316" spans="2:4" x14ac:dyDescent="0.3">
      <c r="B316" s="60" t="s">
        <v>349</v>
      </c>
      <c r="C316" s="60">
        <v>229</v>
      </c>
      <c r="D316" s="62">
        <f t="shared" si="5"/>
        <v>217.55</v>
      </c>
    </row>
    <row r="317" spans="2:4" x14ac:dyDescent="0.3">
      <c r="B317" s="60" t="s">
        <v>350</v>
      </c>
      <c r="C317" s="60">
        <v>249</v>
      </c>
      <c r="D317" s="62">
        <f t="shared" si="5"/>
        <v>236.55</v>
      </c>
    </row>
    <row r="318" spans="2:4" x14ac:dyDescent="0.3">
      <c r="B318" s="60" t="s">
        <v>351</v>
      </c>
      <c r="C318" s="60">
        <v>129</v>
      </c>
      <c r="D318" s="62">
        <f t="shared" si="5"/>
        <v>122.55</v>
      </c>
    </row>
    <row r="319" spans="2:4" x14ac:dyDescent="0.3">
      <c r="B319" s="60" t="s">
        <v>352</v>
      </c>
      <c r="C319" s="60">
        <v>129</v>
      </c>
      <c r="D319" s="62">
        <f t="shared" si="5"/>
        <v>122.55</v>
      </c>
    </row>
    <row r="320" spans="2:4" x14ac:dyDescent="0.3">
      <c r="B320" s="60" t="s">
        <v>353</v>
      </c>
      <c r="C320" s="60">
        <v>179</v>
      </c>
      <c r="D320" s="62">
        <f t="shared" si="5"/>
        <v>170.05</v>
      </c>
    </row>
    <row r="321" spans="2:4" x14ac:dyDescent="0.3">
      <c r="B321" s="60" t="s">
        <v>354</v>
      </c>
      <c r="C321" s="60">
        <v>149</v>
      </c>
      <c r="D321" s="62">
        <f t="shared" si="5"/>
        <v>141.55000000000001</v>
      </c>
    </row>
    <row r="322" spans="2:4" x14ac:dyDescent="0.3">
      <c r="B322" s="60" t="s">
        <v>355</v>
      </c>
      <c r="C322" s="60">
        <v>179</v>
      </c>
      <c r="D322" s="62">
        <f t="shared" si="5"/>
        <v>170.05</v>
      </c>
    </row>
    <row r="323" spans="2:4" x14ac:dyDescent="0.3">
      <c r="B323" s="60" t="s">
        <v>356</v>
      </c>
      <c r="C323" s="60">
        <v>99</v>
      </c>
      <c r="D323" s="62">
        <f t="shared" si="5"/>
        <v>94.05</v>
      </c>
    </row>
    <row r="324" spans="2:4" x14ac:dyDescent="0.3">
      <c r="B324" s="60" t="s">
        <v>357</v>
      </c>
      <c r="C324" s="60">
        <v>249</v>
      </c>
      <c r="D324" s="62">
        <f t="shared" si="5"/>
        <v>236.55</v>
      </c>
    </row>
    <row r="325" spans="2:4" x14ac:dyDescent="0.3">
      <c r="B325" s="60" t="s">
        <v>358</v>
      </c>
      <c r="C325" s="60">
        <v>149</v>
      </c>
      <c r="D325" s="62">
        <f t="shared" si="5"/>
        <v>141.55000000000001</v>
      </c>
    </row>
    <row r="326" spans="2:4" x14ac:dyDescent="0.3">
      <c r="B326" s="60" t="s">
        <v>359</v>
      </c>
      <c r="C326" s="60">
        <v>149</v>
      </c>
      <c r="D326" s="62">
        <f t="shared" si="5"/>
        <v>141.55000000000001</v>
      </c>
    </row>
    <row r="327" spans="2:4" x14ac:dyDescent="0.3">
      <c r="B327" s="60" t="s">
        <v>360</v>
      </c>
      <c r="C327" s="60">
        <v>399</v>
      </c>
      <c r="D327" s="62">
        <f t="shared" si="5"/>
        <v>379.05</v>
      </c>
    </row>
    <row r="328" spans="2:4" x14ac:dyDescent="0.3">
      <c r="B328" s="60" t="s">
        <v>361</v>
      </c>
      <c r="C328" s="60">
        <v>129</v>
      </c>
      <c r="D328" s="62">
        <f t="shared" si="5"/>
        <v>122.55</v>
      </c>
    </row>
    <row r="329" spans="2:4" x14ac:dyDescent="0.3">
      <c r="B329" s="60" t="s">
        <v>362</v>
      </c>
      <c r="C329" s="60">
        <v>109</v>
      </c>
      <c r="D329" s="62">
        <f t="shared" si="5"/>
        <v>103.55</v>
      </c>
    </row>
    <row r="330" spans="2:4" x14ac:dyDescent="0.3">
      <c r="B330" s="60" t="s">
        <v>363</v>
      </c>
      <c r="C330" s="60">
        <v>149</v>
      </c>
      <c r="D330" s="62">
        <f t="shared" si="5"/>
        <v>141.55000000000001</v>
      </c>
    </row>
    <row r="331" spans="2:4" x14ac:dyDescent="0.3">
      <c r="B331" s="60" t="s">
        <v>578</v>
      </c>
      <c r="C331" s="60">
        <v>199</v>
      </c>
      <c r="D331" s="62">
        <f t="shared" si="5"/>
        <v>189.05</v>
      </c>
    </row>
    <row r="332" spans="2:4" x14ac:dyDescent="0.3">
      <c r="B332" s="60" t="s">
        <v>577</v>
      </c>
      <c r="C332" s="60">
        <v>149</v>
      </c>
      <c r="D332" s="62">
        <f t="shared" si="5"/>
        <v>141.55000000000001</v>
      </c>
    </row>
    <row r="333" spans="2:4" x14ac:dyDescent="0.3">
      <c r="B333" s="60" t="s">
        <v>579</v>
      </c>
      <c r="C333" s="60">
        <v>199</v>
      </c>
      <c r="D333" s="62">
        <f t="shared" si="5"/>
        <v>189.05</v>
      </c>
    </row>
    <row r="334" spans="2:4" x14ac:dyDescent="0.3">
      <c r="B334" s="60" t="s">
        <v>580</v>
      </c>
      <c r="C334" s="60">
        <v>349</v>
      </c>
      <c r="D334" s="62">
        <f t="shared" si="5"/>
        <v>331.55</v>
      </c>
    </row>
    <row r="335" spans="2:4" x14ac:dyDescent="0.3">
      <c r="B335" s="60" t="s">
        <v>581</v>
      </c>
      <c r="C335" s="60">
        <v>249</v>
      </c>
      <c r="D335" s="62">
        <f t="shared" si="5"/>
        <v>236.55</v>
      </c>
    </row>
    <row r="336" spans="2:4" x14ac:dyDescent="0.3">
      <c r="B336" s="60" t="s">
        <v>582</v>
      </c>
      <c r="C336" s="60">
        <v>229</v>
      </c>
      <c r="D336" s="62">
        <f t="shared" si="5"/>
        <v>217.55</v>
      </c>
    </row>
    <row r="337" spans="2:4" x14ac:dyDescent="0.3">
      <c r="B337" s="60" t="s">
        <v>583</v>
      </c>
      <c r="C337" s="60">
        <v>299</v>
      </c>
      <c r="D337" s="62">
        <f t="shared" si="5"/>
        <v>284.05</v>
      </c>
    </row>
    <row r="338" spans="2:4" x14ac:dyDescent="0.3">
      <c r="B338" s="60" t="s">
        <v>589</v>
      </c>
      <c r="C338" s="60">
        <v>20</v>
      </c>
      <c r="D338" s="62">
        <f t="shared" si="5"/>
        <v>19</v>
      </c>
    </row>
    <row r="339" spans="2:4" x14ac:dyDescent="0.3">
      <c r="B339" s="60" t="s">
        <v>590</v>
      </c>
      <c r="C339" s="60">
        <v>30</v>
      </c>
      <c r="D339" s="62">
        <f t="shared" si="5"/>
        <v>28.5</v>
      </c>
    </row>
    <row r="340" spans="2:4" x14ac:dyDescent="0.3">
      <c r="B340" s="60" t="s">
        <v>591</v>
      </c>
      <c r="C340" s="60">
        <v>50</v>
      </c>
      <c r="D340" s="62">
        <f t="shared" si="5"/>
        <v>47.5</v>
      </c>
    </row>
    <row r="341" spans="2:4" x14ac:dyDescent="0.3">
      <c r="B341" s="60" t="s">
        <v>584</v>
      </c>
      <c r="C341" s="60">
        <v>299</v>
      </c>
      <c r="D341" s="62">
        <f t="shared" si="5"/>
        <v>284.05</v>
      </c>
    </row>
    <row r="342" spans="2:4" x14ac:dyDescent="0.3">
      <c r="B342" s="60" t="s">
        <v>585</v>
      </c>
      <c r="C342" s="60">
        <v>179</v>
      </c>
      <c r="D342" s="62">
        <f t="shared" si="5"/>
        <v>170.05</v>
      </c>
    </row>
    <row r="343" spans="2:4" x14ac:dyDescent="0.3">
      <c r="B343" s="60" t="s">
        <v>586</v>
      </c>
      <c r="C343" s="60">
        <v>249</v>
      </c>
      <c r="D343" s="62">
        <f t="shared" si="5"/>
        <v>236.55</v>
      </c>
    </row>
    <row r="344" spans="2:4" x14ac:dyDescent="0.3">
      <c r="B344" s="60" t="s">
        <v>587</v>
      </c>
      <c r="C344" s="60">
        <v>349</v>
      </c>
      <c r="D344" s="62">
        <f t="shared" si="5"/>
        <v>331.55</v>
      </c>
    </row>
    <row r="345" spans="2:4" x14ac:dyDescent="0.3">
      <c r="B345" s="60" t="s">
        <v>588</v>
      </c>
      <c r="C345" s="60">
        <v>299</v>
      </c>
      <c r="D345" s="62">
        <f t="shared" si="5"/>
        <v>284.05</v>
      </c>
    </row>
    <row r="346" spans="2:4" x14ac:dyDescent="0.3">
      <c r="B346" s="60" t="s">
        <v>592</v>
      </c>
      <c r="C346" s="60">
        <v>169</v>
      </c>
      <c r="D346" s="62">
        <f t="shared" si="5"/>
        <v>160.55000000000001</v>
      </c>
    </row>
    <row r="347" spans="2:4" x14ac:dyDescent="0.3">
      <c r="B347" s="60" t="s">
        <v>593</v>
      </c>
      <c r="C347" s="60">
        <v>149</v>
      </c>
      <c r="D347" s="62">
        <f t="shared" si="5"/>
        <v>141.55000000000001</v>
      </c>
    </row>
    <row r="348" spans="2:4" x14ac:dyDescent="0.3">
      <c r="B348" s="60" t="s">
        <v>594</v>
      </c>
      <c r="C348" s="60">
        <v>499</v>
      </c>
      <c r="D348" s="62">
        <f t="shared" si="5"/>
        <v>474.05</v>
      </c>
    </row>
    <row r="349" spans="2:4" x14ac:dyDescent="0.3">
      <c r="B349" s="60" t="s">
        <v>595</v>
      </c>
      <c r="C349" s="60">
        <v>149</v>
      </c>
      <c r="D349" s="62">
        <f t="shared" si="5"/>
        <v>141.55000000000001</v>
      </c>
    </row>
    <row r="350" spans="2:4" x14ac:dyDescent="0.3">
      <c r="B350" s="60" t="s">
        <v>596</v>
      </c>
      <c r="C350" s="60">
        <v>199</v>
      </c>
      <c r="D350" s="62">
        <f t="shared" si="5"/>
        <v>189.05</v>
      </c>
    </row>
    <row r="351" spans="2:4" x14ac:dyDescent="0.3">
      <c r="B351" s="60" t="s">
        <v>597</v>
      </c>
      <c r="C351" s="60">
        <v>99</v>
      </c>
      <c r="D351" s="62">
        <f t="shared" si="5"/>
        <v>94.05</v>
      </c>
    </row>
    <row r="352" spans="2:4" x14ac:dyDescent="0.3">
      <c r="B352" s="60" t="s">
        <v>598</v>
      </c>
      <c r="C352" s="60">
        <v>129</v>
      </c>
      <c r="D352" s="62">
        <f t="shared" si="5"/>
        <v>122.55</v>
      </c>
    </row>
    <row r="353" spans="2:4" x14ac:dyDescent="0.3">
      <c r="B353" s="60" t="s">
        <v>599</v>
      </c>
      <c r="C353" s="60">
        <v>99</v>
      </c>
      <c r="D353" s="62">
        <f t="shared" si="5"/>
        <v>94.05</v>
      </c>
    </row>
    <row r="354" spans="2:4" x14ac:dyDescent="0.3">
      <c r="B354" s="60" t="s">
        <v>600</v>
      </c>
      <c r="C354" s="60">
        <v>149</v>
      </c>
      <c r="D354" s="62">
        <f t="shared" si="5"/>
        <v>141.55000000000001</v>
      </c>
    </row>
    <row r="355" spans="2:4" x14ac:dyDescent="0.3">
      <c r="B355" s="60" t="s">
        <v>601</v>
      </c>
      <c r="C355" s="60">
        <v>149</v>
      </c>
      <c r="D355" s="62">
        <f t="shared" si="5"/>
        <v>141.55000000000001</v>
      </c>
    </row>
    <row r="356" spans="2:4" x14ac:dyDescent="0.3">
      <c r="B356" s="60" t="s">
        <v>602</v>
      </c>
      <c r="C356" s="60">
        <v>229</v>
      </c>
      <c r="D356" s="62">
        <f t="shared" si="5"/>
        <v>217.55</v>
      </c>
    </row>
    <row r="357" spans="2:4" x14ac:dyDescent="0.3">
      <c r="B357" s="60" t="s">
        <v>603</v>
      </c>
      <c r="C357" s="60">
        <v>499</v>
      </c>
      <c r="D357" s="62">
        <f t="shared" si="5"/>
        <v>474.05</v>
      </c>
    </row>
    <row r="358" spans="2:4" x14ac:dyDescent="0.3">
      <c r="B358" s="60" t="s">
        <v>604</v>
      </c>
      <c r="C358" s="60">
        <v>349</v>
      </c>
      <c r="D358" s="62">
        <f t="shared" ref="D358:D421" si="6">C358-(C358*(5/100))</f>
        <v>331.55</v>
      </c>
    </row>
    <row r="359" spans="2:4" x14ac:dyDescent="0.3">
      <c r="B359" s="60" t="s">
        <v>605</v>
      </c>
      <c r="C359" s="60">
        <v>199</v>
      </c>
      <c r="D359" s="62">
        <f t="shared" si="6"/>
        <v>189.05</v>
      </c>
    </row>
    <row r="360" spans="2:4" x14ac:dyDescent="0.3">
      <c r="B360" s="60" t="s">
        <v>606</v>
      </c>
      <c r="C360" s="60">
        <v>259</v>
      </c>
      <c r="D360" s="62">
        <f t="shared" si="6"/>
        <v>246.05</v>
      </c>
    </row>
    <row r="361" spans="2:4" x14ac:dyDescent="0.3">
      <c r="B361" s="60" t="s">
        <v>607</v>
      </c>
      <c r="C361" s="60">
        <v>399</v>
      </c>
      <c r="D361" s="62">
        <f t="shared" si="6"/>
        <v>379.05</v>
      </c>
    </row>
    <row r="362" spans="2:4" x14ac:dyDescent="0.3">
      <c r="B362" s="60" t="s">
        <v>608</v>
      </c>
      <c r="C362" s="60">
        <v>199</v>
      </c>
      <c r="D362" s="62">
        <f t="shared" si="6"/>
        <v>189.05</v>
      </c>
    </row>
    <row r="363" spans="2:4" x14ac:dyDescent="0.3">
      <c r="B363" s="60" t="s">
        <v>609</v>
      </c>
      <c r="C363" s="60">
        <v>229</v>
      </c>
      <c r="D363" s="62">
        <f t="shared" si="6"/>
        <v>217.55</v>
      </c>
    </row>
    <row r="364" spans="2:4" x14ac:dyDescent="0.3">
      <c r="B364" s="60" t="s">
        <v>610</v>
      </c>
      <c r="C364" s="60">
        <v>179</v>
      </c>
      <c r="D364" s="62">
        <f t="shared" si="6"/>
        <v>170.05</v>
      </c>
    </row>
    <row r="365" spans="2:4" x14ac:dyDescent="0.3">
      <c r="B365" s="60" t="s">
        <v>611</v>
      </c>
      <c r="C365" s="60">
        <v>399</v>
      </c>
      <c r="D365" s="62">
        <f t="shared" si="6"/>
        <v>379.05</v>
      </c>
    </row>
    <row r="366" spans="2:4" x14ac:dyDescent="0.3">
      <c r="B366" s="60" t="s">
        <v>612</v>
      </c>
      <c r="C366" s="60">
        <v>299</v>
      </c>
      <c r="D366" s="62">
        <f t="shared" si="6"/>
        <v>284.05</v>
      </c>
    </row>
    <row r="367" spans="2:4" x14ac:dyDescent="0.3">
      <c r="B367" s="60" t="s">
        <v>613</v>
      </c>
      <c r="C367" s="60">
        <v>149</v>
      </c>
      <c r="D367" s="62">
        <f t="shared" si="6"/>
        <v>141.55000000000001</v>
      </c>
    </row>
    <row r="368" spans="2:4" x14ac:dyDescent="0.3">
      <c r="B368" s="60" t="s">
        <v>614</v>
      </c>
      <c r="C368" s="60">
        <v>429</v>
      </c>
      <c r="D368" s="62">
        <f t="shared" si="6"/>
        <v>407.55</v>
      </c>
    </row>
    <row r="369" spans="2:4" x14ac:dyDescent="0.3">
      <c r="B369" s="60" t="s">
        <v>615</v>
      </c>
      <c r="C369" s="60">
        <v>429</v>
      </c>
      <c r="D369" s="62">
        <f t="shared" si="6"/>
        <v>407.55</v>
      </c>
    </row>
    <row r="370" spans="2:4" x14ac:dyDescent="0.3">
      <c r="B370" s="60" t="s">
        <v>616</v>
      </c>
      <c r="C370" s="60">
        <v>299</v>
      </c>
      <c r="D370" s="62">
        <f t="shared" si="6"/>
        <v>284.05</v>
      </c>
    </row>
    <row r="371" spans="2:4" x14ac:dyDescent="0.3">
      <c r="B371" s="60" t="s">
        <v>617</v>
      </c>
      <c r="C371" s="60">
        <v>429</v>
      </c>
      <c r="D371" s="62">
        <f t="shared" si="6"/>
        <v>407.55</v>
      </c>
    </row>
    <row r="372" spans="2:4" x14ac:dyDescent="0.3">
      <c r="B372" s="60" t="s">
        <v>618</v>
      </c>
      <c r="C372" s="60">
        <v>299</v>
      </c>
      <c r="D372" s="62">
        <f t="shared" si="6"/>
        <v>284.05</v>
      </c>
    </row>
    <row r="373" spans="2:4" x14ac:dyDescent="0.3">
      <c r="B373" s="60" t="s">
        <v>619</v>
      </c>
      <c r="C373" s="60">
        <v>229</v>
      </c>
      <c r="D373" s="62">
        <f t="shared" si="6"/>
        <v>217.55</v>
      </c>
    </row>
    <row r="374" spans="2:4" x14ac:dyDescent="0.3">
      <c r="B374" s="60" t="s">
        <v>620</v>
      </c>
      <c r="C374" s="60">
        <v>229</v>
      </c>
      <c r="D374" s="62">
        <f t="shared" si="6"/>
        <v>217.55</v>
      </c>
    </row>
    <row r="375" spans="2:4" x14ac:dyDescent="0.3">
      <c r="B375" s="60" t="s">
        <v>621</v>
      </c>
      <c r="C375" s="60">
        <v>199</v>
      </c>
      <c r="D375" s="62">
        <f t="shared" si="6"/>
        <v>189.05</v>
      </c>
    </row>
    <row r="376" spans="2:4" x14ac:dyDescent="0.3">
      <c r="B376" s="60" t="s">
        <v>622</v>
      </c>
      <c r="C376" s="60">
        <v>399</v>
      </c>
      <c r="D376" s="62">
        <f t="shared" si="6"/>
        <v>379.05</v>
      </c>
    </row>
    <row r="377" spans="2:4" x14ac:dyDescent="0.3">
      <c r="B377" s="60" t="s">
        <v>623</v>
      </c>
      <c r="C377" s="60">
        <v>349</v>
      </c>
      <c r="D377" s="62">
        <f t="shared" si="6"/>
        <v>331.55</v>
      </c>
    </row>
    <row r="378" spans="2:4" x14ac:dyDescent="0.3">
      <c r="B378" s="60" t="s">
        <v>624</v>
      </c>
      <c r="C378" s="60">
        <v>399</v>
      </c>
      <c r="D378" s="62">
        <f t="shared" si="6"/>
        <v>379.05</v>
      </c>
    </row>
    <row r="379" spans="2:4" x14ac:dyDescent="0.3">
      <c r="B379" s="60" t="s">
        <v>625</v>
      </c>
      <c r="C379" s="60">
        <v>299</v>
      </c>
      <c r="D379" s="62">
        <f t="shared" si="6"/>
        <v>284.05</v>
      </c>
    </row>
    <row r="380" spans="2:4" x14ac:dyDescent="0.3">
      <c r="B380" s="60" t="s">
        <v>626</v>
      </c>
      <c r="C380" s="60">
        <v>399</v>
      </c>
      <c r="D380" s="62">
        <f t="shared" si="6"/>
        <v>379.05</v>
      </c>
    </row>
    <row r="381" spans="2:4" x14ac:dyDescent="0.3">
      <c r="B381" s="60" t="s">
        <v>627</v>
      </c>
      <c r="C381" s="60">
        <v>449</v>
      </c>
      <c r="D381" s="62">
        <f t="shared" si="6"/>
        <v>426.55</v>
      </c>
    </row>
    <row r="382" spans="2:4" x14ac:dyDescent="0.3">
      <c r="B382" s="60" t="s">
        <v>628</v>
      </c>
      <c r="C382" s="60">
        <v>399</v>
      </c>
      <c r="D382" s="62">
        <f t="shared" si="6"/>
        <v>379.05</v>
      </c>
    </row>
    <row r="383" spans="2:4" x14ac:dyDescent="0.3">
      <c r="B383" s="60" t="s">
        <v>629</v>
      </c>
      <c r="C383" s="60">
        <v>329</v>
      </c>
      <c r="D383" s="62">
        <f t="shared" si="6"/>
        <v>312.55</v>
      </c>
    </row>
    <row r="384" spans="2:4" x14ac:dyDescent="0.3">
      <c r="B384" s="60" t="s">
        <v>630</v>
      </c>
      <c r="C384" s="60">
        <v>599</v>
      </c>
      <c r="D384" s="62">
        <f t="shared" si="6"/>
        <v>569.04999999999995</v>
      </c>
    </row>
    <row r="385" spans="2:4" x14ac:dyDescent="0.3">
      <c r="B385" s="60" t="s">
        <v>631</v>
      </c>
      <c r="C385" s="60">
        <v>399</v>
      </c>
      <c r="D385" s="62">
        <f t="shared" si="6"/>
        <v>379.05</v>
      </c>
    </row>
    <row r="386" spans="2:4" x14ac:dyDescent="0.3">
      <c r="B386" s="60" t="s">
        <v>632</v>
      </c>
      <c r="C386" s="60">
        <v>799</v>
      </c>
      <c r="D386" s="62">
        <f t="shared" si="6"/>
        <v>759.05</v>
      </c>
    </row>
    <row r="387" spans="2:4" x14ac:dyDescent="0.3">
      <c r="B387" s="60" t="s">
        <v>633</v>
      </c>
      <c r="C387" s="60">
        <v>849</v>
      </c>
      <c r="D387" s="62">
        <f t="shared" si="6"/>
        <v>806.55</v>
      </c>
    </row>
    <row r="388" spans="2:4" x14ac:dyDescent="0.3">
      <c r="B388" s="60" t="s">
        <v>634</v>
      </c>
      <c r="C388" s="60">
        <v>229</v>
      </c>
      <c r="D388" s="62">
        <f t="shared" si="6"/>
        <v>217.55</v>
      </c>
    </row>
    <row r="389" spans="2:4" x14ac:dyDescent="0.3">
      <c r="B389" s="60" t="s">
        <v>635</v>
      </c>
      <c r="C389" s="60">
        <v>399</v>
      </c>
      <c r="D389" s="62">
        <f t="shared" si="6"/>
        <v>379.05</v>
      </c>
    </row>
    <row r="390" spans="2:4" x14ac:dyDescent="0.3">
      <c r="B390" s="60" t="s">
        <v>636</v>
      </c>
      <c r="C390" s="60">
        <v>199</v>
      </c>
      <c r="D390" s="62">
        <f t="shared" si="6"/>
        <v>189.05</v>
      </c>
    </row>
    <row r="391" spans="2:4" x14ac:dyDescent="0.3">
      <c r="B391" s="60" t="s">
        <v>637</v>
      </c>
      <c r="C391" s="60">
        <v>179</v>
      </c>
      <c r="D391" s="62">
        <f t="shared" si="6"/>
        <v>170.05</v>
      </c>
    </row>
    <row r="392" spans="2:4" x14ac:dyDescent="0.3">
      <c r="B392" s="60" t="s">
        <v>638</v>
      </c>
      <c r="C392" s="60">
        <v>229</v>
      </c>
      <c r="D392" s="62">
        <f t="shared" si="6"/>
        <v>217.55</v>
      </c>
    </row>
    <row r="393" spans="2:4" x14ac:dyDescent="0.3">
      <c r="B393" s="60" t="s">
        <v>639</v>
      </c>
      <c r="C393" s="60">
        <v>249</v>
      </c>
      <c r="D393" s="62">
        <f t="shared" si="6"/>
        <v>236.55</v>
      </c>
    </row>
    <row r="394" spans="2:4" x14ac:dyDescent="0.3">
      <c r="B394" s="60" t="s">
        <v>640</v>
      </c>
      <c r="C394" s="60">
        <v>299</v>
      </c>
      <c r="D394" s="62">
        <f t="shared" si="6"/>
        <v>284.05</v>
      </c>
    </row>
    <row r="395" spans="2:4" x14ac:dyDescent="0.3">
      <c r="B395" s="60" t="s">
        <v>641</v>
      </c>
      <c r="C395" s="60">
        <v>149</v>
      </c>
      <c r="D395" s="62">
        <f t="shared" si="6"/>
        <v>141.55000000000001</v>
      </c>
    </row>
    <row r="396" spans="2:4" x14ac:dyDescent="0.3">
      <c r="B396" s="60" t="s">
        <v>642</v>
      </c>
      <c r="C396" s="60">
        <v>249</v>
      </c>
      <c r="D396" s="62">
        <f t="shared" si="6"/>
        <v>236.55</v>
      </c>
    </row>
    <row r="397" spans="2:4" x14ac:dyDescent="0.3">
      <c r="B397" s="60" t="s">
        <v>643</v>
      </c>
      <c r="C397" s="60">
        <v>149</v>
      </c>
      <c r="D397" s="62">
        <f t="shared" si="6"/>
        <v>141.55000000000001</v>
      </c>
    </row>
    <row r="398" spans="2:4" x14ac:dyDescent="0.3">
      <c r="B398" s="60" t="s">
        <v>644</v>
      </c>
      <c r="C398" s="60">
        <v>169</v>
      </c>
      <c r="D398" s="62">
        <f t="shared" si="6"/>
        <v>160.55000000000001</v>
      </c>
    </row>
    <row r="399" spans="2:4" x14ac:dyDescent="0.3">
      <c r="B399" s="60" t="s">
        <v>645</v>
      </c>
      <c r="C399" s="60">
        <v>199</v>
      </c>
      <c r="D399" s="62">
        <f t="shared" si="6"/>
        <v>189.05</v>
      </c>
    </row>
    <row r="400" spans="2:4" x14ac:dyDescent="0.3">
      <c r="B400" s="60" t="s">
        <v>646</v>
      </c>
      <c r="C400" s="60">
        <v>149</v>
      </c>
      <c r="D400" s="62">
        <f t="shared" si="6"/>
        <v>141.55000000000001</v>
      </c>
    </row>
    <row r="401" spans="2:4" x14ac:dyDescent="0.3">
      <c r="B401" s="60" t="s">
        <v>647</v>
      </c>
      <c r="C401" s="60">
        <v>229</v>
      </c>
      <c r="D401" s="62">
        <f t="shared" si="6"/>
        <v>217.55</v>
      </c>
    </row>
    <row r="402" spans="2:4" x14ac:dyDescent="0.3">
      <c r="B402" s="60" t="s">
        <v>648</v>
      </c>
      <c r="C402" s="60">
        <v>179</v>
      </c>
      <c r="D402" s="62">
        <f t="shared" si="6"/>
        <v>170.05</v>
      </c>
    </row>
    <row r="403" spans="2:4" x14ac:dyDescent="0.3">
      <c r="B403" s="60" t="s">
        <v>649</v>
      </c>
      <c r="C403" s="60">
        <v>109</v>
      </c>
      <c r="D403" s="62">
        <f t="shared" si="6"/>
        <v>103.55</v>
      </c>
    </row>
    <row r="404" spans="2:4" x14ac:dyDescent="0.3">
      <c r="B404" s="60" t="s">
        <v>650</v>
      </c>
      <c r="C404" s="60">
        <v>149</v>
      </c>
      <c r="D404" s="62">
        <f t="shared" si="6"/>
        <v>141.55000000000001</v>
      </c>
    </row>
    <row r="405" spans="2:4" x14ac:dyDescent="0.3">
      <c r="B405" s="60" t="s">
        <v>651</v>
      </c>
      <c r="C405" s="60">
        <v>149</v>
      </c>
      <c r="D405" s="62">
        <f t="shared" si="6"/>
        <v>141.55000000000001</v>
      </c>
    </row>
    <row r="406" spans="2:4" x14ac:dyDescent="0.3">
      <c r="B406" s="60" t="s">
        <v>652</v>
      </c>
      <c r="C406" s="60">
        <v>129</v>
      </c>
      <c r="D406" s="62">
        <f t="shared" si="6"/>
        <v>122.55</v>
      </c>
    </row>
    <row r="407" spans="2:4" x14ac:dyDescent="0.3">
      <c r="B407" s="60" t="s">
        <v>653</v>
      </c>
      <c r="C407" s="60">
        <v>149</v>
      </c>
      <c r="D407" s="62">
        <f t="shared" si="6"/>
        <v>141.55000000000001</v>
      </c>
    </row>
    <row r="408" spans="2:4" x14ac:dyDescent="0.3">
      <c r="B408" s="60" t="s">
        <v>654</v>
      </c>
      <c r="C408" s="60">
        <v>149</v>
      </c>
      <c r="D408" s="62">
        <f t="shared" si="6"/>
        <v>141.55000000000001</v>
      </c>
    </row>
    <row r="409" spans="2:4" x14ac:dyDescent="0.3">
      <c r="B409" s="60" t="s">
        <v>655</v>
      </c>
      <c r="C409" s="60">
        <v>99</v>
      </c>
      <c r="D409" s="62">
        <f t="shared" si="6"/>
        <v>94.05</v>
      </c>
    </row>
    <row r="410" spans="2:4" x14ac:dyDescent="0.3">
      <c r="B410" s="60" t="s">
        <v>656</v>
      </c>
      <c r="C410" s="60">
        <v>249</v>
      </c>
      <c r="D410" s="62">
        <f t="shared" si="6"/>
        <v>236.55</v>
      </c>
    </row>
    <row r="411" spans="2:4" x14ac:dyDescent="0.3">
      <c r="B411" s="60" t="s">
        <v>657</v>
      </c>
      <c r="C411" s="60">
        <v>199</v>
      </c>
      <c r="D411" s="62">
        <f t="shared" si="6"/>
        <v>189.05</v>
      </c>
    </row>
    <row r="412" spans="2:4" x14ac:dyDescent="0.3">
      <c r="B412" s="60" t="s">
        <v>658</v>
      </c>
      <c r="C412" s="60">
        <v>249</v>
      </c>
      <c r="D412" s="62">
        <f t="shared" si="6"/>
        <v>236.55</v>
      </c>
    </row>
    <row r="413" spans="2:4" x14ac:dyDescent="0.3">
      <c r="B413" s="60" t="s">
        <v>659</v>
      </c>
      <c r="C413" s="60">
        <v>249</v>
      </c>
      <c r="D413" s="62">
        <f t="shared" si="6"/>
        <v>236.55</v>
      </c>
    </row>
    <row r="414" spans="2:4" x14ac:dyDescent="0.3">
      <c r="B414" s="60" t="s">
        <v>660</v>
      </c>
      <c r="C414" s="60">
        <v>99</v>
      </c>
      <c r="D414" s="62">
        <f t="shared" si="6"/>
        <v>94.05</v>
      </c>
    </row>
    <row r="415" spans="2:4" x14ac:dyDescent="0.3">
      <c r="B415" s="60" t="s">
        <v>661</v>
      </c>
      <c r="C415" s="60">
        <v>99</v>
      </c>
      <c r="D415" s="62">
        <f t="shared" si="6"/>
        <v>94.05</v>
      </c>
    </row>
    <row r="416" spans="2:4" x14ac:dyDescent="0.3">
      <c r="B416" s="60" t="s">
        <v>662</v>
      </c>
      <c r="C416" s="60">
        <v>99</v>
      </c>
      <c r="D416" s="62">
        <f t="shared" si="6"/>
        <v>94.05</v>
      </c>
    </row>
    <row r="417" spans="2:4" x14ac:dyDescent="0.3">
      <c r="B417" s="60" t="s">
        <v>663</v>
      </c>
      <c r="C417" s="60">
        <v>149</v>
      </c>
      <c r="D417" s="62">
        <f t="shared" si="6"/>
        <v>141.55000000000001</v>
      </c>
    </row>
    <row r="418" spans="2:4" x14ac:dyDescent="0.3">
      <c r="B418" s="60" t="s">
        <v>664</v>
      </c>
      <c r="C418" s="60">
        <v>129</v>
      </c>
      <c r="D418" s="62">
        <f t="shared" si="6"/>
        <v>122.55</v>
      </c>
    </row>
    <row r="419" spans="2:4" x14ac:dyDescent="0.3">
      <c r="B419" s="60" t="s">
        <v>665</v>
      </c>
      <c r="C419" s="60">
        <v>99</v>
      </c>
      <c r="D419" s="62">
        <f t="shared" si="6"/>
        <v>94.05</v>
      </c>
    </row>
    <row r="420" spans="2:4" x14ac:dyDescent="0.3">
      <c r="B420" s="60" t="s">
        <v>666</v>
      </c>
      <c r="C420" s="60">
        <v>349</v>
      </c>
      <c r="D420" s="62">
        <f t="shared" si="6"/>
        <v>331.55</v>
      </c>
    </row>
    <row r="421" spans="2:4" x14ac:dyDescent="0.3">
      <c r="B421" s="60" t="s">
        <v>667</v>
      </c>
      <c r="C421" s="60">
        <v>149</v>
      </c>
      <c r="D421" s="62">
        <f t="shared" si="6"/>
        <v>141.55000000000001</v>
      </c>
    </row>
    <row r="422" spans="2:4" x14ac:dyDescent="0.3">
      <c r="B422" s="60" t="s">
        <v>668</v>
      </c>
      <c r="C422" s="60">
        <v>399</v>
      </c>
      <c r="D422" s="62">
        <f t="shared" ref="D422:D485" si="7">C422-(C422*(5/100))</f>
        <v>379.05</v>
      </c>
    </row>
    <row r="423" spans="2:4" x14ac:dyDescent="0.3">
      <c r="B423" s="60" t="s">
        <v>669</v>
      </c>
      <c r="C423" s="60">
        <v>99</v>
      </c>
      <c r="D423" s="62">
        <f t="shared" si="7"/>
        <v>94.05</v>
      </c>
    </row>
    <row r="424" spans="2:4" x14ac:dyDescent="0.3">
      <c r="B424" s="60" t="s">
        <v>670</v>
      </c>
      <c r="C424" s="60">
        <v>129</v>
      </c>
      <c r="D424" s="62">
        <f t="shared" si="7"/>
        <v>122.55</v>
      </c>
    </row>
    <row r="425" spans="2:4" x14ac:dyDescent="0.3">
      <c r="B425" s="60" t="s">
        <v>671</v>
      </c>
      <c r="C425" s="60">
        <v>199</v>
      </c>
      <c r="D425" s="62">
        <f t="shared" si="7"/>
        <v>189.05</v>
      </c>
    </row>
    <row r="426" spans="2:4" x14ac:dyDescent="0.3">
      <c r="B426" s="60" t="s">
        <v>672</v>
      </c>
      <c r="C426" s="60">
        <v>399</v>
      </c>
      <c r="D426" s="62">
        <f t="shared" si="7"/>
        <v>379.05</v>
      </c>
    </row>
    <row r="427" spans="2:4" x14ac:dyDescent="0.3">
      <c r="B427" s="60" t="s">
        <v>673</v>
      </c>
      <c r="C427" s="60">
        <v>399</v>
      </c>
      <c r="D427" s="62">
        <f t="shared" si="7"/>
        <v>379.05</v>
      </c>
    </row>
    <row r="428" spans="2:4" x14ac:dyDescent="0.3">
      <c r="B428" s="60" t="s">
        <v>674</v>
      </c>
      <c r="C428" s="60">
        <v>399</v>
      </c>
      <c r="D428" s="62">
        <f t="shared" si="7"/>
        <v>379.05</v>
      </c>
    </row>
    <row r="429" spans="2:4" x14ac:dyDescent="0.3">
      <c r="B429" s="60" t="s">
        <v>675</v>
      </c>
      <c r="C429" s="60">
        <v>299</v>
      </c>
      <c r="D429" s="62">
        <f t="shared" si="7"/>
        <v>284.05</v>
      </c>
    </row>
    <row r="430" spans="2:4" x14ac:dyDescent="0.3">
      <c r="B430" s="60" t="s">
        <v>676</v>
      </c>
      <c r="C430" s="60">
        <v>399</v>
      </c>
      <c r="D430" s="62">
        <f t="shared" si="7"/>
        <v>379.05</v>
      </c>
    </row>
    <row r="431" spans="2:4" x14ac:dyDescent="0.3">
      <c r="B431" s="60" t="s">
        <v>677</v>
      </c>
      <c r="C431" s="60">
        <v>199</v>
      </c>
      <c r="D431" s="62">
        <f t="shared" si="7"/>
        <v>189.05</v>
      </c>
    </row>
    <row r="432" spans="2:4" x14ac:dyDescent="0.3">
      <c r="B432" s="60" t="s">
        <v>678</v>
      </c>
      <c r="C432" s="60">
        <v>399</v>
      </c>
      <c r="D432" s="62">
        <f t="shared" si="7"/>
        <v>379.05</v>
      </c>
    </row>
    <row r="433" spans="2:4" x14ac:dyDescent="0.3">
      <c r="B433" s="60" t="s">
        <v>679</v>
      </c>
      <c r="C433" s="60">
        <v>249</v>
      </c>
      <c r="D433" s="62">
        <f t="shared" si="7"/>
        <v>236.55</v>
      </c>
    </row>
    <row r="434" spans="2:4" x14ac:dyDescent="0.3">
      <c r="B434" s="60" t="s">
        <v>680</v>
      </c>
      <c r="C434" s="60">
        <v>229</v>
      </c>
      <c r="D434" s="62">
        <f t="shared" si="7"/>
        <v>217.55</v>
      </c>
    </row>
    <row r="435" spans="2:4" x14ac:dyDescent="0.3">
      <c r="B435" s="60" t="s">
        <v>681</v>
      </c>
      <c r="C435" s="60">
        <v>169</v>
      </c>
      <c r="D435" s="62">
        <f t="shared" si="7"/>
        <v>160.55000000000001</v>
      </c>
    </row>
    <row r="436" spans="2:4" x14ac:dyDescent="0.3">
      <c r="B436" s="60" t="s">
        <v>682</v>
      </c>
      <c r="C436" s="60">
        <v>199</v>
      </c>
      <c r="D436" s="62">
        <f t="shared" si="7"/>
        <v>189.05</v>
      </c>
    </row>
    <row r="437" spans="2:4" x14ac:dyDescent="0.3">
      <c r="B437" s="60" t="s">
        <v>683</v>
      </c>
      <c r="C437" s="60">
        <v>249</v>
      </c>
      <c r="D437" s="62">
        <f t="shared" si="7"/>
        <v>236.55</v>
      </c>
    </row>
    <row r="438" spans="2:4" x14ac:dyDescent="0.3">
      <c r="B438" s="60" t="s">
        <v>782</v>
      </c>
      <c r="C438" s="60">
        <v>399</v>
      </c>
      <c r="D438" s="62">
        <f t="shared" si="7"/>
        <v>379.05</v>
      </c>
    </row>
    <row r="439" spans="2:4" x14ac:dyDescent="0.3">
      <c r="B439" s="60" t="s">
        <v>783</v>
      </c>
      <c r="C439" s="60">
        <v>299</v>
      </c>
      <c r="D439" s="62">
        <f t="shared" si="7"/>
        <v>284.05</v>
      </c>
    </row>
    <row r="440" spans="2:4" x14ac:dyDescent="0.3">
      <c r="B440" s="60" t="s">
        <v>784</v>
      </c>
      <c r="C440" s="60">
        <v>249</v>
      </c>
      <c r="D440" s="62">
        <f t="shared" si="7"/>
        <v>236.55</v>
      </c>
    </row>
    <row r="441" spans="2:4" x14ac:dyDescent="0.3">
      <c r="B441" s="60" t="s">
        <v>785</v>
      </c>
      <c r="C441" s="60">
        <v>199</v>
      </c>
      <c r="D441" s="62">
        <f t="shared" si="7"/>
        <v>189.05</v>
      </c>
    </row>
    <row r="442" spans="2:4" x14ac:dyDescent="0.3">
      <c r="B442" s="60" t="s">
        <v>786</v>
      </c>
      <c r="C442" s="60">
        <v>249</v>
      </c>
      <c r="D442" s="62">
        <f t="shared" si="7"/>
        <v>236.55</v>
      </c>
    </row>
    <row r="443" spans="2:4" x14ac:dyDescent="0.3">
      <c r="B443" s="60" t="s">
        <v>787</v>
      </c>
      <c r="C443" s="60">
        <v>99</v>
      </c>
      <c r="D443" s="62">
        <f t="shared" si="7"/>
        <v>94.05</v>
      </c>
    </row>
    <row r="444" spans="2:4" x14ac:dyDescent="0.3">
      <c r="B444" s="60" t="s">
        <v>788</v>
      </c>
      <c r="C444" s="60">
        <v>149</v>
      </c>
      <c r="D444" s="62">
        <f t="shared" si="7"/>
        <v>141.55000000000001</v>
      </c>
    </row>
    <row r="445" spans="2:4" x14ac:dyDescent="0.3">
      <c r="B445" s="60" t="s">
        <v>789</v>
      </c>
      <c r="C445" s="60">
        <v>229</v>
      </c>
      <c r="D445" s="62">
        <f t="shared" si="7"/>
        <v>217.55</v>
      </c>
    </row>
    <row r="446" spans="2:4" x14ac:dyDescent="0.3">
      <c r="B446" s="60" t="s">
        <v>790</v>
      </c>
      <c r="C446" s="60">
        <v>799</v>
      </c>
      <c r="D446" s="62">
        <f t="shared" si="7"/>
        <v>759.05</v>
      </c>
    </row>
    <row r="447" spans="2:4" x14ac:dyDescent="0.3">
      <c r="B447" s="60" t="s">
        <v>791</v>
      </c>
      <c r="C447" s="60">
        <v>349</v>
      </c>
      <c r="D447" s="62">
        <f t="shared" si="7"/>
        <v>331.55</v>
      </c>
    </row>
    <row r="448" spans="2:4" x14ac:dyDescent="0.3">
      <c r="B448" s="60" t="s">
        <v>792</v>
      </c>
      <c r="C448" s="60">
        <v>399</v>
      </c>
      <c r="D448" s="62">
        <f t="shared" si="7"/>
        <v>379.05</v>
      </c>
    </row>
    <row r="449" spans="2:4" x14ac:dyDescent="0.3">
      <c r="B449" s="60" t="s">
        <v>793</v>
      </c>
      <c r="C449" s="60">
        <v>229</v>
      </c>
      <c r="D449" s="62">
        <f t="shared" si="7"/>
        <v>217.55</v>
      </c>
    </row>
    <row r="450" spans="2:4" x14ac:dyDescent="0.3">
      <c r="B450" s="60" t="s">
        <v>794</v>
      </c>
      <c r="C450" s="60">
        <v>129</v>
      </c>
      <c r="D450" s="62">
        <f t="shared" si="7"/>
        <v>122.55</v>
      </c>
    </row>
    <row r="451" spans="2:4" x14ac:dyDescent="0.3">
      <c r="B451" s="60" t="s">
        <v>1076</v>
      </c>
      <c r="C451" s="60">
        <v>149</v>
      </c>
      <c r="D451" s="62">
        <f t="shared" si="7"/>
        <v>141.55000000000001</v>
      </c>
    </row>
    <row r="452" spans="2:4" x14ac:dyDescent="0.3">
      <c r="B452" s="60" t="s">
        <v>1078</v>
      </c>
      <c r="C452" s="60">
        <v>199</v>
      </c>
      <c r="D452" s="62">
        <f t="shared" si="7"/>
        <v>189.05</v>
      </c>
    </row>
    <row r="453" spans="2:4" x14ac:dyDescent="0.3">
      <c r="B453" s="60" t="s">
        <v>1079</v>
      </c>
      <c r="C453" s="60">
        <v>129</v>
      </c>
      <c r="D453" s="62">
        <f t="shared" si="7"/>
        <v>122.55</v>
      </c>
    </row>
    <row r="454" spans="2:4" x14ac:dyDescent="0.3">
      <c r="B454" s="60" t="s">
        <v>1080</v>
      </c>
      <c r="C454" s="60">
        <v>149</v>
      </c>
      <c r="D454" s="62">
        <f t="shared" si="7"/>
        <v>141.55000000000001</v>
      </c>
    </row>
    <row r="455" spans="2:4" x14ac:dyDescent="0.3">
      <c r="B455" s="60" t="s">
        <v>1081</v>
      </c>
      <c r="C455" s="60">
        <v>149</v>
      </c>
      <c r="D455" s="62">
        <f t="shared" si="7"/>
        <v>141.55000000000001</v>
      </c>
    </row>
    <row r="456" spans="2:4" x14ac:dyDescent="0.3">
      <c r="B456" s="60" t="s">
        <v>1082</v>
      </c>
      <c r="C456" s="63">
        <v>99</v>
      </c>
      <c r="D456" s="62">
        <f t="shared" si="7"/>
        <v>94.05</v>
      </c>
    </row>
    <row r="457" spans="2:4" x14ac:dyDescent="0.3">
      <c r="B457" s="60" t="s">
        <v>1083</v>
      </c>
      <c r="C457" s="63">
        <v>129</v>
      </c>
      <c r="D457" s="62">
        <f t="shared" si="7"/>
        <v>122.55</v>
      </c>
    </row>
    <row r="458" spans="2:4" x14ac:dyDescent="0.3">
      <c r="B458" s="60" t="s">
        <v>1084</v>
      </c>
      <c r="C458" s="63">
        <v>149</v>
      </c>
      <c r="D458" s="62">
        <f t="shared" si="7"/>
        <v>141.55000000000001</v>
      </c>
    </row>
    <row r="459" spans="2:4" x14ac:dyDescent="0.3">
      <c r="B459" s="60" t="s">
        <v>1085</v>
      </c>
      <c r="C459" s="63">
        <v>199</v>
      </c>
      <c r="D459" s="62">
        <f t="shared" si="7"/>
        <v>189.05</v>
      </c>
    </row>
    <row r="460" spans="2:4" x14ac:dyDescent="0.3">
      <c r="B460" s="60" t="s">
        <v>1086</v>
      </c>
      <c r="C460" s="60">
        <v>179</v>
      </c>
      <c r="D460" s="62">
        <f t="shared" si="7"/>
        <v>170.05</v>
      </c>
    </row>
    <row r="461" spans="2:4" x14ac:dyDescent="0.3">
      <c r="B461" s="60" t="s">
        <v>1087</v>
      </c>
      <c r="C461" s="60">
        <v>229</v>
      </c>
      <c r="D461" s="62">
        <f t="shared" si="7"/>
        <v>217.55</v>
      </c>
    </row>
    <row r="462" spans="2:4" x14ac:dyDescent="0.3">
      <c r="B462" s="60" t="s">
        <v>1088</v>
      </c>
      <c r="C462" s="60">
        <v>299</v>
      </c>
      <c r="D462" s="62">
        <f t="shared" si="7"/>
        <v>284.05</v>
      </c>
    </row>
    <row r="463" spans="2:4" x14ac:dyDescent="0.3">
      <c r="B463" s="60" t="s">
        <v>1089</v>
      </c>
      <c r="C463" s="60">
        <v>349</v>
      </c>
      <c r="D463" s="62">
        <f t="shared" si="7"/>
        <v>331.55</v>
      </c>
    </row>
    <row r="464" spans="2:4" x14ac:dyDescent="0.3">
      <c r="B464" s="60" t="s">
        <v>1090</v>
      </c>
      <c r="C464" s="60">
        <v>399</v>
      </c>
      <c r="D464" s="62">
        <f t="shared" si="7"/>
        <v>379.05</v>
      </c>
    </row>
    <row r="465" spans="2:4" x14ac:dyDescent="0.3">
      <c r="B465" s="60" t="s">
        <v>1091</v>
      </c>
      <c r="C465" s="60">
        <v>259</v>
      </c>
      <c r="D465" s="62">
        <f t="shared" si="7"/>
        <v>246.05</v>
      </c>
    </row>
    <row r="466" spans="2:4" x14ac:dyDescent="0.3">
      <c r="B466" s="60" t="s">
        <v>1092</v>
      </c>
      <c r="C466" s="60">
        <v>249</v>
      </c>
      <c r="D466" s="62">
        <f t="shared" si="7"/>
        <v>236.55</v>
      </c>
    </row>
    <row r="467" spans="2:4" x14ac:dyDescent="0.3">
      <c r="B467" s="60" t="s">
        <v>1093</v>
      </c>
      <c r="C467" s="60">
        <v>139</v>
      </c>
      <c r="D467" s="62">
        <f t="shared" si="7"/>
        <v>132.05000000000001</v>
      </c>
    </row>
    <row r="468" spans="2:4" x14ac:dyDescent="0.3">
      <c r="B468" s="60" t="s">
        <v>1094</v>
      </c>
      <c r="C468" s="60">
        <v>129</v>
      </c>
      <c r="D468" s="62">
        <f t="shared" si="7"/>
        <v>122.55</v>
      </c>
    </row>
    <row r="469" spans="2:4" x14ac:dyDescent="0.3">
      <c r="B469" s="60" t="s">
        <v>1095</v>
      </c>
      <c r="C469" s="60">
        <v>149</v>
      </c>
      <c r="D469" s="62">
        <f t="shared" si="7"/>
        <v>141.55000000000001</v>
      </c>
    </row>
    <row r="470" spans="2:4" x14ac:dyDescent="0.3">
      <c r="B470" s="60" t="s">
        <v>1096</v>
      </c>
      <c r="C470" s="60">
        <v>299</v>
      </c>
      <c r="D470" s="62">
        <f t="shared" si="7"/>
        <v>284.05</v>
      </c>
    </row>
    <row r="471" spans="2:4" x14ac:dyDescent="0.3">
      <c r="B471" s="60" t="s">
        <v>1097</v>
      </c>
      <c r="C471" s="60">
        <v>129</v>
      </c>
      <c r="D471" s="62">
        <f t="shared" si="7"/>
        <v>122.55</v>
      </c>
    </row>
    <row r="472" spans="2:4" x14ac:dyDescent="0.3">
      <c r="B472" s="60" t="s">
        <v>1098</v>
      </c>
      <c r="C472" s="60">
        <v>149</v>
      </c>
      <c r="D472" s="62">
        <f t="shared" si="7"/>
        <v>141.55000000000001</v>
      </c>
    </row>
    <row r="473" spans="2:4" x14ac:dyDescent="0.3">
      <c r="B473" s="60" t="s">
        <v>1099</v>
      </c>
      <c r="C473" s="60">
        <v>199</v>
      </c>
      <c r="D473" s="62">
        <f t="shared" si="7"/>
        <v>189.05</v>
      </c>
    </row>
    <row r="474" spans="2:4" x14ac:dyDescent="0.3">
      <c r="B474" s="60" t="s">
        <v>1100</v>
      </c>
      <c r="C474" s="60">
        <v>40</v>
      </c>
      <c r="D474" s="62">
        <f t="shared" si="7"/>
        <v>38</v>
      </c>
    </row>
    <row r="475" spans="2:4" x14ac:dyDescent="0.3">
      <c r="B475" s="60" t="s">
        <v>1101</v>
      </c>
      <c r="C475" s="60">
        <v>259</v>
      </c>
      <c r="D475" s="62">
        <f t="shared" si="7"/>
        <v>246.05</v>
      </c>
    </row>
    <row r="476" spans="2:4" x14ac:dyDescent="0.3">
      <c r="B476" s="60" t="s">
        <v>1102</v>
      </c>
      <c r="C476" s="60">
        <v>249</v>
      </c>
      <c r="D476" s="62">
        <f t="shared" si="7"/>
        <v>236.55</v>
      </c>
    </row>
    <row r="477" spans="2:4" x14ac:dyDescent="0.3">
      <c r="B477" s="60" t="s">
        <v>1103</v>
      </c>
      <c r="C477" s="60">
        <v>249</v>
      </c>
      <c r="D477" s="62">
        <f t="shared" si="7"/>
        <v>236.55</v>
      </c>
    </row>
    <row r="478" spans="2:4" x14ac:dyDescent="0.3">
      <c r="B478" s="60" t="s">
        <v>1104</v>
      </c>
      <c r="C478" s="60">
        <v>429</v>
      </c>
      <c r="D478" s="62">
        <f t="shared" si="7"/>
        <v>407.55</v>
      </c>
    </row>
    <row r="479" spans="2:4" x14ac:dyDescent="0.3">
      <c r="B479" s="60" t="s">
        <v>1105</v>
      </c>
      <c r="C479" s="60">
        <v>249</v>
      </c>
      <c r="D479" s="62">
        <f t="shared" si="7"/>
        <v>236.55</v>
      </c>
    </row>
    <row r="480" spans="2:4" x14ac:dyDescent="0.3">
      <c r="B480" s="60" t="s">
        <v>1106</v>
      </c>
      <c r="C480" s="60">
        <v>299</v>
      </c>
      <c r="D480" s="62">
        <f t="shared" si="7"/>
        <v>284.05</v>
      </c>
    </row>
    <row r="481" spans="2:4" x14ac:dyDescent="0.3">
      <c r="B481" s="60" t="s">
        <v>1107</v>
      </c>
      <c r="C481" s="60">
        <v>349</v>
      </c>
      <c r="D481" s="62">
        <f t="shared" si="7"/>
        <v>331.55</v>
      </c>
    </row>
    <row r="482" spans="2:4" x14ac:dyDescent="0.3">
      <c r="B482" s="60" t="s">
        <v>1108</v>
      </c>
      <c r="C482" s="60">
        <v>299</v>
      </c>
      <c r="D482" s="62">
        <f t="shared" si="7"/>
        <v>284.05</v>
      </c>
    </row>
    <row r="483" spans="2:4" x14ac:dyDescent="0.3">
      <c r="B483" s="60" t="s">
        <v>1109</v>
      </c>
      <c r="C483" s="60">
        <v>349</v>
      </c>
      <c r="D483" s="62">
        <f t="shared" si="7"/>
        <v>331.55</v>
      </c>
    </row>
    <row r="484" spans="2:4" x14ac:dyDescent="0.3">
      <c r="B484" s="60" t="s">
        <v>1110</v>
      </c>
      <c r="C484" s="60">
        <v>199</v>
      </c>
      <c r="D484" s="62">
        <f t="shared" si="7"/>
        <v>189.05</v>
      </c>
    </row>
    <row r="485" spans="2:4" x14ac:dyDescent="0.3">
      <c r="B485" s="60" t="s">
        <v>1111</v>
      </c>
      <c r="C485" s="60">
        <v>329</v>
      </c>
      <c r="D485" s="62">
        <f t="shared" si="7"/>
        <v>312.55</v>
      </c>
    </row>
    <row r="486" spans="2:4" x14ac:dyDescent="0.3">
      <c r="B486" s="60" t="s">
        <v>1112</v>
      </c>
      <c r="C486" s="60">
        <v>299</v>
      </c>
      <c r="D486" s="62">
        <f t="shared" ref="D486:D549" si="8">C486-(C486*(5/100))</f>
        <v>284.05</v>
      </c>
    </row>
    <row r="487" spans="2:4" x14ac:dyDescent="0.3">
      <c r="B487" s="60" t="s">
        <v>1113</v>
      </c>
      <c r="C487" s="60">
        <v>249</v>
      </c>
      <c r="D487" s="62">
        <f t="shared" si="8"/>
        <v>236.55</v>
      </c>
    </row>
    <row r="488" spans="2:4" x14ac:dyDescent="0.3">
      <c r="B488" s="60" t="s">
        <v>1114</v>
      </c>
      <c r="C488" s="60"/>
      <c r="D488" s="62">
        <f t="shared" si="8"/>
        <v>0</v>
      </c>
    </row>
    <row r="489" spans="2:4" x14ac:dyDescent="0.3">
      <c r="B489" s="60" t="s">
        <v>1115</v>
      </c>
      <c r="C489" s="60">
        <v>199</v>
      </c>
      <c r="D489" s="62">
        <f t="shared" si="8"/>
        <v>189.05</v>
      </c>
    </row>
    <row r="490" spans="2:4" x14ac:dyDescent="0.3">
      <c r="B490" s="60" t="s">
        <v>1116</v>
      </c>
      <c r="C490" s="60">
        <v>149</v>
      </c>
      <c r="D490" s="62">
        <f t="shared" si="8"/>
        <v>141.55000000000001</v>
      </c>
    </row>
    <row r="491" spans="2:4" x14ac:dyDescent="0.3">
      <c r="B491" s="60" t="s">
        <v>1117</v>
      </c>
      <c r="C491" s="60">
        <v>399</v>
      </c>
      <c r="D491" s="62">
        <f t="shared" si="8"/>
        <v>379.05</v>
      </c>
    </row>
    <row r="492" spans="2:4" x14ac:dyDescent="0.3">
      <c r="B492" s="60" t="s">
        <v>1118</v>
      </c>
      <c r="C492" s="60">
        <v>249</v>
      </c>
      <c r="D492" s="62">
        <f t="shared" si="8"/>
        <v>236.55</v>
      </c>
    </row>
    <row r="493" spans="2:4" x14ac:dyDescent="0.3">
      <c r="B493" s="60" t="s">
        <v>1119</v>
      </c>
      <c r="C493" s="60">
        <v>129</v>
      </c>
      <c r="D493" s="62">
        <f t="shared" si="8"/>
        <v>122.55</v>
      </c>
    </row>
    <row r="494" spans="2:4" x14ac:dyDescent="0.3">
      <c r="B494" s="60" t="s">
        <v>1120</v>
      </c>
      <c r="C494" s="60">
        <v>159</v>
      </c>
      <c r="D494" s="62">
        <f t="shared" si="8"/>
        <v>151.05000000000001</v>
      </c>
    </row>
    <row r="495" spans="2:4" x14ac:dyDescent="0.3">
      <c r="B495" s="60" t="s">
        <v>1121</v>
      </c>
      <c r="C495" s="60">
        <v>159</v>
      </c>
      <c r="D495" s="62">
        <f t="shared" si="8"/>
        <v>151.05000000000001</v>
      </c>
    </row>
    <row r="496" spans="2:4" x14ac:dyDescent="0.3">
      <c r="B496" s="60" t="s">
        <v>1122</v>
      </c>
      <c r="C496" s="60">
        <v>149</v>
      </c>
      <c r="D496" s="62">
        <f t="shared" si="8"/>
        <v>141.55000000000001</v>
      </c>
    </row>
    <row r="497" spans="2:4" x14ac:dyDescent="0.3">
      <c r="B497" s="60" t="s">
        <v>1123</v>
      </c>
      <c r="C497" s="60">
        <v>249</v>
      </c>
      <c r="D497" s="62">
        <f t="shared" si="8"/>
        <v>236.55</v>
      </c>
    </row>
    <row r="498" spans="2:4" x14ac:dyDescent="0.3">
      <c r="B498" s="60" t="s">
        <v>1124</v>
      </c>
      <c r="C498" s="60">
        <v>249</v>
      </c>
      <c r="D498" s="62">
        <f t="shared" si="8"/>
        <v>236.55</v>
      </c>
    </row>
    <row r="499" spans="2:4" x14ac:dyDescent="0.3">
      <c r="B499" s="60" t="s">
        <v>1125</v>
      </c>
      <c r="C499" s="60">
        <v>299</v>
      </c>
      <c r="D499" s="62">
        <f t="shared" si="8"/>
        <v>284.05</v>
      </c>
    </row>
    <row r="500" spans="2:4" x14ac:dyDescent="0.3">
      <c r="B500" s="60" t="s">
        <v>1126</v>
      </c>
      <c r="C500" s="60">
        <v>299</v>
      </c>
      <c r="D500" s="62">
        <f t="shared" si="8"/>
        <v>284.05</v>
      </c>
    </row>
    <row r="501" spans="2:4" x14ac:dyDescent="0.3">
      <c r="B501" s="60" t="s">
        <v>1127</v>
      </c>
      <c r="C501" s="60">
        <v>249</v>
      </c>
      <c r="D501" s="62">
        <f t="shared" si="8"/>
        <v>236.55</v>
      </c>
    </row>
    <row r="502" spans="2:4" x14ac:dyDescent="0.3">
      <c r="B502" s="60" t="s">
        <v>1128</v>
      </c>
      <c r="C502" s="60">
        <v>99</v>
      </c>
      <c r="D502" s="62">
        <f t="shared" si="8"/>
        <v>94.05</v>
      </c>
    </row>
    <row r="503" spans="2:4" x14ac:dyDescent="0.3">
      <c r="B503" s="60" t="s">
        <v>1129</v>
      </c>
      <c r="C503" s="60">
        <v>149</v>
      </c>
      <c r="D503" s="62">
        <f t="shared" si="8"/>
        <v>141.55000000000001</v>
      </c>
    </row>
    <row r="504" spans="2:4" x14ac:dyDescent="0.3">
      <c r="B504" s="60" t="s">
        <v>1130</v>
      </c>
      <c r="C504" s="60">
        <v>149</v>
      </c>
      <c r="D504" s="62">
        <f t="shared" si="8"/>
        <v>141.55000000000001</v>
      </c>
    </row>
    <row r="505" spans="2:4" x14ac:dyDescent="0.3">
      <c r="B505" s="60" t="s">
        <v>1131</v>
      </c>
      <c r="C505" s="60">
        <v>229</v>
      </c>
      <c r="D505" s="62">
        <f t="shared" si="8"/>
        <v>217.55</v>
      </c>
    </row>
    <row r="506" spans="2:4" x14ac:dyDescent="0.3">
      <c r="B506" s="60" t="s">
        <v>1132</v>
      </c>
      <c r="C506" s="60">
        <v>249</v>
      </c>
      <c r="D506" s="62">
        <f t="shared" si="8"/>
        <v>236.55</v>
      </c>
    </row>
    <row r="507" spans="2:4" x14ac:dyDescent="0.3">
      <c r="B507" s="60" t="s">
        <v>1133</v>
      </c>
      <c r="C507" s="60">
        <v>249</v>
      </c>
      <c r="D507" s="62">
        <f t="shared" si="8"/>
        <v>236.55</v>
      </c>
    </row>
    <row r="508" spans="2:4" x14ac:dyDescent="0.3">
      <c r="B508" s="60" t="s">
        <v>1134</v>
      </c>
      <c r="C508" s="60">
        <v>249</v>
      </c>
      <c r="D508" s="62">
        <f t="shared" si="8"/>
        <v>236.55</v>
      </c>
    </row>
    <row r="509" spans="2:4" x14ac:dyDescent="0.3">
      <c r="B509" s="60" t="s">
        <v>1135</v>
      </c>
      <c r="C509" s="60">
        <v>299</v>
      </c>
      <c r="D509" s="62">
        <f t="shared" si="8"/>
        <v>284.05</v>
      </c>
    </row>
    <row r="510" spans="2:4" x14ac:dyDescent="0.3">
      <c r="B510" s="60" t="s">
        <v>1136</v>
      </c>
      <c r="C510" s="60">
        <v>99</v>
      </c>
      <c r="D510" s="62">
        <f t="shared" si="8"/>
        <v>94.05</v>
      </c>
    </row>
    <row r="511" spans="2:4" x14ac:dyDescent="0.3">
      <c r="B511" s="60" t="s">
        <v>1137</v>
      </c>
      <c r="C511" s="60">
        <v>149</v>
      </c>
      <c r="D511" s="62">
        <f t="shared" si="8"/>
        <v>141.55000000000001</v>
      </c>
    </row>
    <row r="512" spans="2:4" x14ac:dyDescent="0.3">
      <c r="B512" s="60" t="s">
        <v>1138</v>
      </c>
      <c r="C512" s="60">
        <v>99</v>
      </c>
      <c r="D512" s="62">
        <f t="shared" si="8"/>
        <v>94.05</v>
      </c>
    </row>
    <row r="513" spans="2:4" x14ac:dyDescent="0.3">
      <c r="B513" s="60" t="s">
        <v>1139</v>
      </c>
      <c r="C513" s="60">
        <v>229</v>
      </c>
      <c r="D513" s="62">
        <f t="shared" si="8"/>
        <v>217.55</v>
      </c>
    </row>
    <row r="514" spans="2:4" x14ac:dyDescent="0.3">
      <c r="B514" s="60" t="s">
        <v>1140</v>
      </c>
      <c r="C514" s="60">
        <v>149</v>
      </c>
      <c r="D514" s="62">
        <f t="shared" si="8"/>
        <v>141.55000000000001</v>
      </c>
    </row>
    <row r="515" spans="2:4" x14ac:dyDescent="0.3">
      <c r="B515" s="60" t="s">
        <v>1141</v>
      </c>
      <c r="C515" s="60">
        <v>99</v>
      </c>
      <c r="D515" s="62">
        <f t="shared" si="8"/>
        <v>94.05</v>
      </c>
    </row>
    <row r="516" spans="2:4" x14ac:dyDescent="0.3">
      <c r="B516" s="60" t="s">
        <v>1142</v>
      </c>
      <c r="C516" s="60">
        <v>99</v>
      </c>
      <c r="D516" s="62">
        <f t="shared" si="8"/>
        <v>94.05</v>
      </c>
    </row>
    <row r="517" spans="2:4" x14ac:dyDescent="0.3">
      <c r="B517" s="60" t="s">
        <v>1143</v>
      </c>
      <c r="C517" s="60">
        <v>99</v>
      </c>
      <c r="D517" s="62">
        <f t="shared" si="8"/>
        <v>94.05</v>
      </c>
    </row>
    <row r="518" spans="2:4" x14ac:dyDescent="0.3">
      <c r="B518" s="60" t="s">
        <v>1144</v>
      </c>
      <c r="C518" s="60">
        <v>99</v>
      </c>
      <c r="D518" s="62">
        <f t="shared" si="8"/>
        <v>94.05</v>
      </c>
    </row>
    <row r="519" spans="2:4" x14ac:dyDescent="0.3">
      <c r="B519" s="60" t="s">
        <v>1145</v>
      </c>
      <c r="C519" s="60">
        <v>99</v>
      </c>
      <c r="D519" s="62">
        <f t="shared" si="8"/>
        <v>94.05</v>
      </c>
    </row>
    <row r="520" spans="2:4" x14ac:dyDescent="0.3">
      <c r="B520" s="60" t="s">
        <v>1146</v>
      </c>
      <c r="C520" s="60">
        <v>159</v>
      </c>
      <c r="D520" s="62">
        <f t="shared" si="8"/>
        <v>151.05000000000001</v>
      </c>
    </row>
    <row r="521" spans="2:4" x14ac:dyDescent="0.3">
      <c r="B521" s="60" t="s">
        <v>1147</v>
      </c>
      <c r="C521" s="60">
        <v>149</v>
      </c>
      <c r="D521" s="62">
        <f t="shared" si="8"/>
        <v>141.55000000000001</v>
      </c>
    </row>
    <row r="522" spans="2:4" x14ac:dyDescent="0.3">
      <c r="B522" s="60" t="s">
        <v>1148</v>
      </c>
      <c r="C522" s="60">
        <v>129</v>
      </c>
      <c r="D522" s="62">
        <f t="shared" si="8"/>
        <v>122.55</v>
      </c>
    </row>
    <row r="523" spans="2:4" x14ac:dyDescent="0.3">
      <c r="B523" s="60" t="s">
        <v>1149</v>
      </c>
      <c r="C523" s="60">
        <v>229</v>
      </c>
      <c r="D523" s="62">
        <f t="shared" si="8"/>
        <v>217.55</v>
      </c>
    </row>
    <row r="524" spans="2:4" x14ac:dyDescent="0.3">
      <c r="B524" s="60" t="s">
        <v>1150</v>
      </c>
      <c r="C524" s="60">
        <v>259</v>
      </c>
      <c r="D524" s="62">
        <f t="shared" si="8"/>
        <v>246.05</v>
      </c>
    </row>
    <row r="525" spans="2:4" x14ac:dyDescent="0.3">
      <c r="B525" s="60" t="s">
        <v>1151</v>
      </c>
      <c r="C525" s="60">
        <v>399</v>
      </c>
      <c r="D525" s="62">
        <f t="shared" si="8"/>
        <v>379.05</v>
      </c>
    </row>
    <row r="526" spans="2:4" x14ac:dyDescent="0.3">
      <c r="B526" s="60" t="s">
        <v>1152</v>
      </c>
      <c r="C526" s="60">
        <v>449</v>
      </c>
      <c r="D526" s="62">
        <f t="shared" si="8"/>
        <v>426.55</v>
      </c>
    </row>
    <row r="527" spans="2:4" x14ac:dyDescent="0.3">
      <c r="B527" s="60" t="s">
        <v>1153</v>
      </c>
      <c r="C527" s="60">
        <v>499</v>
      </c>
      <c r="D527" s="62">
        <f t="shared" si="8"/>
        <v>474.05</v>
      </c>
    </row>
    <row r="528" spans="2:4" x14ac:dyDescent="0.3">
      <c r="B528" s="60" t="s">
        <v>1154</v>
      </c>
      <c r="C528" s="60">
        <v>549</v>
      </c>
      <c r="D528" s="62">
        <f t="shared" si="8"/>
        <v>521.54999999999995</v>
      </c>
    </row>
    <row r="529" spans="2:4" x14ac:dyDescent="0.3">
      <c r="B529" s="60" t="s">
        <v>1155</v>
      </c>
      <c r="C529" s="60">
        <v>399</v>
      </c>
      <c r="D529" s="62">
        <f t="shared" si="8"/>
        <v>379.05</v>
      </c>
    </row>
    <row r="530" spans="2:4" x14ac:dyDescent="0.3">
      <c r="B530" s="60" t="s">
        <v>1156</v>
      </c>
      <c r="C530" s="60">
        <v>399</v>
      </c>
      <c r="D530" s="62">
        <f t="shared" si="8"/>
        <v>379.05</v>
      </c>
    </row>
    <row r="531" spans="2:4" x14ac:dyDescent="0.3">
      <c r="B531" s="60" t="s">
        <v>1157</v>
      </c>
      <c r="C531" s="60">
        <v>599</v>
      </c>
      <c r="D531" s="62">
        <f t="shared" si="8"/>
        <v>569.04999999999995</v>
      </c>
    </row>
    <row r="532" spans="2:4" x14ac:dyDescent="0.3">
      <c r="B532" s="60" t="s">
        <v>1158</v>
      </c>
      <c r="C532" s="60">
        <v>699</v>
      </c>
      <c r="D532" s="62">
        <f t="shared" si="8"/>
        <v>664.05</v>
      </c>
    </row>
    <row r="533" spans="2:4" x14ac:dyDescent="0.3">
      <c r="B533" s="60" t="s">
        <v>1159</v>
      </c>
      <c r="C533" s="60">
        <v>799</v>
      </c>
      <c r="D533" s="62">
        <f t="shared" si="8"/>
        <v>759.05</v>
      </c>
    </row>
    <row r="534" spans="2:4" x14ac:dyDescent="0.3">
      <c r="B534" s="60" t="s">
        <v>1160</v>
      </c>
      <c r="C534" s="60">
        <v>849</v>
      </c>
      <c r="D534" s="62">
        <f t="shared" si="8"/>
        <v>806.55</v>
      </c>
    </row>
    <row r="535" spans="2:4" x14ac:dyDescent="0.3">
      <c r="B535" s="60" t="s">
        <v>1161</v>
      </c>
      <c r="C535" s="60">
        <v>349</v>
      </c>
      <c r="D535" s="62">
        <f t="shared" si="8"/>
        <v>331.55</v>
      </c>
    </row>
    <row r="536" spans="2:4" x14ac:dyDescent="0.3">
      <c r="B536" s="60" t="s">
        <v>1162</v>
      </c>
      <c r="C536" s="60">
        <v>300</v>
      </c>
      <c r="D536" s="62">
        <f t="shared" si="8"/>
        <v>285</v>
      </c>
    </row>
    <row r="537" spans="2:4" x14ac:dyDescent="0.3">
      <c r="B537" s="60" t="s">
        <v>1163</v>
      </c>
      <c r="C537" s="60">
        <v>149</v>
      </c>
      <c r="D537" s="62">
        <f t="shared" si="8"/>
        <v>141.55000000000001</v>
      </c>
    </row>
    <row r="538" spans="2:4" x14ac:dyDescent="0.3">
      <c r="B538" s="60" t="s">
        <v>1164</v>
      </c>
      <c r="C538" s="60">
        <v>169</v>
      </c>
      <c r="D538" s="62">
        <f t="shared" si="8"/>
        <v>160.55000000000001</v>
      </c>
    </row>
    <row r="539" spans="2:4" x14ac:dyDescent="0.3">
      <c r="B539" s="60" t="s">
        <v>1165</v>
      </c>
      <c r="C539" s="60">
        <v>249</v>
      </c>
      <c r="D539" s="62">
        <f t="shared" si="8"/>
        <v>236.55</v>
      </c>
    </row>
    <row r="540" spans="2:4" x14ac:dyDescent="0.3">
      <c r="B540" s="60" t="s">
        <v>1166</v>
      </c>
      <c r="C540" s="60">
        <v>399</v>
      </c>
      <c r="D540" s="62">
        <f t="shared" si="8"/>
        <v>379.05</v>
      </c>
    </row>
    <row r="541" spans="2:4" x14ac:dyDescent="0.3">
      <c r="B541" s="60" t="s">
        <v>1167</v>
      </c>
      <c r="C541" s="60">
        <v>159</v>
      </c>
      <c r="D541" s="62">
        <f t="shared" si="8"/>
        <v>151.05000000000001</v>
      </c>
    </row>
    <row r="542" spans="2:4" x14ac:dyDescent="0.3">
      <c r="B542" s="60" t="s">
        <v>1168</v>
      </c>
      <c r="C542" s="60">
        <v>199</v>
      </c>
      <c r="D542" s="62">
        <f t="shared" si="8"/>
        <v>189.05</v>
      </c>
    </row>
    <row r="543" spans="2:4" x14ac:dyDescent="0.3">
      <c r="B543" s="60" t="s">
        <v>1169</v>
      </c>
      <c r="C543" s="60">
        <v>249</v>
      </c>
      <c r="D543" s="62">
        <f t="shared" si="8"/>
        <v>236.55</v>
      </c>
    </row>
    <row r="544" spans="2:4" x14ac:dyDescent="0.3">
      <c r="B544" s="60" t="s">
        <v>1170</v>
      </c>
      <c r="C544" s="60">
        <v>199</v>
      </c>
      <c r="D544" s="62">
        <f t="shared" si="8"/>
        <v>189.05</v>
      </c>
    </row>
    <row r="545" spans="2:4" x14ac:dyDescent="0.3">
      <c r="B545" s="60" t="s">
        <v>1171</v>
      </c>
      <c r="C545" s="60">
        <v>149</v>
      </c>
      <c r="D545" s="62">
        <f t="shared" si="8"/>
        <v>141.55000000000001</v>
      </c>
    </row>
    <row r="546" spans="2:4" x14ac:dyDescent="0.3">
      <c r="B546" s="60" t="s">
        <v>1172</v>
      </c>
      <c r="C546" s="60">
        <v>129</v>
      </c>
      <c r="D546" s="62">
        <f t="shared" si="8"/>
        <v>122.55</v>
      </c>
    </row>
    <row r="547" spans="2:4" x14ac:dyDescent="0.3">
      <c r="B547" s="60" t="s">
        <v>1173</v>
      </c>
      <c r="C547" s="60">
        <v>99</v>
      </c>
      <c r="D547" s="62">
        <f t="shared" si="8"/>
        <v>94.05</v>
      </c>
    </row>
    <row r="548" spans="2:4" x14ac:dyDescent="0.3">
      <c r="B548" s="60" t="s">
        <v>1174</v>
      </c>
      <c r="C548" s="60">
        <v>249</v>
      </c>
      <c r="D548" s="62">
        <f t="shared" si="8"/>
        <v>236.55</v>
      </c>
    </row>
    <row r="549" spans="2:4" x14ac:dyDescent="0.3">
      <c r="B549" s="60" t="s">
        <v>1175</v>
      </c>
      <c r="C549" s="60">
        <v>129</v>
      </c>
      <c r="D549" s="62">
        <f t="shared" si="8"/>
        <v>122.55</v>
      </c>
    </row>
    <row r="550" spans="2:4" x14ac:dyDescent="0.3">
      <c r="B550" s="60" t="s">
        <v>1176</v>
      </c>
      <c r="C550" s="60">
        <v>229</v>
      </c>
      <c r="D550" s="62">
        <f t="shared" ref="D550:D613" si="9">C550-(C550*(5/100))</f>
        <v>217.55</v>
      </c>
    </row>
    <row r="551" spans="2:4" x14ac:dyDescent="0.3">
      <c r="B551" s="60" t="s">
        <v>1177</v>
      </c>
      <c r="C551" s="60">
        <v>99</v>
      </c>
      <c r="D551" s="62">
        <f t="shared" si="9"/>
        <v>94.05</v>
      </c>
    </row>
    <row r="552" spans="2:4" x14ac:dyDescent="0.3">
      <c r="B552" s="60" t="s">
        <v>1178</v>
      </c>
      <c r="C552" s="60">
        <v>149</v>
      </c>
      <c r="D552" s="62">
        <f t="shared" si="9"/>
        <v>141.55000000000001</v>
      </c>
    </row>
    <row r="553" spans="2:4" x14ac:dyDescent="0.3">
      <c r="B553" s="60" t="s">
        <v>1179</v>
      </c>
      <c r="C553" s="60">
        <v>199</v>
      </c>
      <c r="D553" s="62">
        <f t="shared" si="9"/>
        <v>189.05</v>
      </c>
    </row>
    <row r="554" spans="2:4" x14ac:dyDescent="0.3">
      <c r="B554" s="60" t="s">
        <v>1180</v>
      </c>
      <c r="C554" s="60">
        <v>99</v>
      </c>
      <c r="D554" s="62">
        <f t="shared" si="9"/>
        <v>94.05</v>
      </c>
    </row>
    <row r="555" spans="2:4" x14ac:dyDescent="0.3">
      <c r="B555" s="60" t="s">
        <v>1181</v>
      </c>
      <c r="C555" s="60">
        <v>99</v>
      </c>
      <c r="D555" s="62">
        <f t="shared" si="9"/>
        <v>94.05</v>
      </c>
    </row>
    <row r="556" spans="2:4" x14ac:dyDescent="0.3">
      <c r="B556" s="60" t="s">
        <v>1182</v>
      </c>
      <c r="C556" s="60">
        <v>149</v>
      </c>
      <c r="D556" s="62">
        <f t="shared" si="9"/>
        <v>141.55000000000001</v>
      </c>
    </row>
    <row r="557" spans="2:4" x14ac:dyDescent="0.3">
      <c r="B557" s="60" t="s">
        <v>1183</v>
      </c>
      <c r="C557" s="60">
        <v>149</v>
      </c>
      <c r="D557" s="62">
        <f t="shared" si="9"/>
        <v>141.55000000000001</v>
      </c>
    </row>
    <row r="558" spans="2:4" x14ac:dyDescent="0.3">
      <c r="B558" s="60" t="s">
        <v>1184</v>
      </c>
      <c r="C558" s="60">
        <v>399</v>
      </c>
      <c r="D558" s="62">
        <f t="shared" si="9"/>
        <v>379.05</v>
      </c>
    </row>
    <row r="559" spans="2:4" x14ac:dyDescent="0.3">
      <c r="B559" s="60" t="s">
        <v>1185</v>
      </c>
      <c r="C559" s="60">
        <v>99</v>
      </c>
      <c r="D559" s="62">
        <f t="shared" si="9"/>
        <v>94.05</v>
      </c>
    </row>
    <row r="560" spans="2:4" x14ac:dyDescent="0.3">
      <c r="B560" s="60" t="s">
        <v>1186</v>
      </c>
      <c r="C560" s="60">
        <v>129</v>
      </c>
      <c r="D560" s="62">
        <f t="shared" si="9"/>
        <v>122.55</v>
      </c>
    </row>
    <row r="561" spans="2:4" x14ac:dyDescent="0.3">
      <c r="B561" s="60" t="s">
        <v>1187</v>
      </c>
      <c r="C561" s="60">
        <v>99</v>
      </c>
      <c r="D561" s="62">
        <f t="shared" si="9"/>
        <v>94.05</v>
      </c>
    </row>
    <row r="562" spans="2:4" x14ac:dyDescent="0.3">
      <c r="B562" s="60" t="s">
        <v>1188</v>
      </c>
      <c r="C562" s="60">
        <v>99</v>
      </c>
      <c r="D562" s="62">
        <f t="shared" si="9"/>
        <v>94.05</v>
      </c>
    </row>
    <row r="563" spans="2:4" x14ac:dyDescent="0.3">
      <c r="B563" s="60" t="s">
        <v>1189</v>
      </c>
      <c r="C563" s="60">
        <v>99</v>
      </c>
      <c r="D563" s="62">
        <f t="shared" si="9"/>
        <v>94.05</v>
      </c>
    </row>
    <row r="564" spans="2:4" x14ac:dyDescent="0.3">
      <c r="B564" s="60" t="s">
        <v>1190</v>
      </c>
      <c r="C564" s="60">
        <v>99</v>
      </c>
      <c r="D564" s="62">
        <f t="shared" si="9"/>
        <v>94.05</v>
      </c>
    </row>
    <row r="565" spans="2:4" x14ac:dyDescent="0.3">
      <c r="B565" s="60" t="s">
        <v>1191</v>
      </c>
      <c r="C565" s="60">
        <v>99</v>
      </c>
      <c r="D565" s="62">
        <f t="shared" si="9"/>
        <v>94.05</v>
      </c>
    </row>
    <row r="566" spans="2:4" x14ac:dyDescent="0.3">
      <c r="B566" s="60" t="s">
        <v>1192</v>
      </c>
      <c r="C566" s="60">
        <v>99</v>
      </c>
      <c r="D566" s="62">
        <f t="shared" si="9"/>
        <v>94.05</v>
      </c>
    </row>
    <row r="567" spans="2:4" x14ac:dyDescent="0.3">
      <c r="B567" s="60" t="s">
        <v>1193</v>
      </c>
      <c r="C567" s="60">
        <v>129</v>
      </c>
      <c r="D567" s="62">
        <f t="shared" si="9"/>
        <v>122.55</v>
      </c>
    </row>
    <row r="568" spans="2:4" x14ac:dyDescent="0.3">
      <c r="B568" s="60" t="s">
        <v>1194</v>
      </c>
      <c r="C568" s="60">
        <v>99</v>
      </c>
      <c r="D568" s="62">
        <f t="shared" si="9"/>
        <v>94.05</v>
      </c>
    </row>
    <row r="569" spans="2:4" x14ac:dyDescent="0.3">
      <c r="B569" s="60" t="s">
        <v>1195</v>
      </c>
      <c r="C569" s="60">
        <v>169</v>
      </c>
      <c r="D569" s="62">
        <f t="shared" si="9"/>
        <v>160.55000000000001</v>
      </c>
    </row>
    <row r="570" spans="2:4" x14ac:dyDescent="0.3">
      <c r="B570" s="60" t="s">
        <v>1196</v>
      </c>
      <c r="C570" s="60">
        <v>99</v>
      </c>
      <c r="D570" s="62">
        <f t="shared" si="9"/>
        <v>94.05</v>
      </c>
    </row>
    <row r="571" spans="2:4" x14ac:dyDescent="0.3">
      <c r="B571" s="60" t="s">
        <v>1197</v>
      </c>
      <c r="C571" s="60">
        <v>149</v>
      </c>
      <c r="D571" s="62">
        <f t="shared" si="9"/>
        <v>141.55000000000001</v>
      </c>
    </row>
    <row r="572" spans="2:4" x14ac:dyDescent="0.3">
      <c r="B572" s="60" t="s">
        <v>1198</v>
      </c>
      <c r="C572" s="60">
        <v>399</v>
      </c>
      <c r="D572" s="62">
        <f t="shared" si="9"/>
        <v>379.05</v>
      </c>
    </row>
    <row r="573" spans="2:4" x14ac:dyDescent="0.3">
      <c r="B573" s="60" t="s">
        <v>1199</v>
      </c>
      <c r="C573" s="60">
        <v>329</v>
      </c>
      <c r="D573" s="62">
        <f t="shared" si="9"/>
        <v>312.55</v>
      </c>
    </row>
    <row r="574" spans="2:4" x14ac:dyDescent="0.3">
      <c r="B574" s="60" t="s">
        <v>1200</v>
      </c>
      <c r="C574" s="60">
        <v>249</v>
      </c>
      <c r="D574" s="62">
        <f t="shared" si="9"/>
        <v>236.55</v>
      </c>
    </row>
    <row r="575" spans="2:4" x14ac:dyDescent="0.3">
      <c r="B575" s="60" t="s">
        <v>1201</v>
      </c>
      <c r="C575" s="60">
        <v>499</v>
      </c>
      <c r="D575" s="62">
        <f t="shared" si="9"/>
        <v>474.05</v>
      </c>
    </row>
    <row r="576" spans="2:4" x14ac:dyDescent="0.3">
      <c r="B576" s="60" t="s">
        <v>1202</v>
      </c>
      <c r="C576" s="60">
        <v>169</v>
      </c>
      <c r="D576" s="62">
        <f t="shared" si="9"/>
        <v>160.55000000000001</v>
      </c>
    </row>
    <row r="577" spans="2:4" x14ac:dyDescent="0.3">
      <c r="B577" s="60" t="s">
        <v>1203</v>
      </c>
      <c r="C577" s="60">
        <v>249</v>
      </c>
      <c r="D577" s="62">
        <f t="shared" si="9"/>
        <v>236.55</v>
      </c>
    </row>
    <row r="578" spans="2:4" x14ac:dyDescent="0.3">
      <c r="B578" s="60" t="s">
        <v>1204</v>
      </c>
      <c r="C578" s="60">
        <v>449</v>
      </c>
      <c r="D578" s="62">
        <f t="shared" si="9"/>
        <v>426.55</v>
      </c>
    </row>
    <row r="579" spans="2:4" x14ac:dyDescent="0.3">
      <c r="B579" s="60" t="s">
        <v>1205</v>
      </c>
      <c r="C579" s="60">
        <v>349</v>
      </c>
      <c r="D579" s="62">
        <f t="shared" si="9"/>
        <v>331.55</v>
      </c>
    </row>
    <row r="580" spans="2:4" x14ac:dyDescent="0.3">
      <c r="B580" s="60" t="s">
        <v>1206</v>
      </c>
      <c r="C580" s="60">
        <v>399</v>
      </c>
      <c r="D580" s="62">
        <f t="shared" si="9"/>
        <v>379.05</v>
      </c>
    </row>
    <row r="581" spans="2:4" x14ac:dyDescent="0.3">
      <c r="B581" s="60" t="s">
        <v>1207</v>
      </c>
      <c r="C581" s="60">
        <v>199</v>
      </c>
      <c r="D581" s="62">
        <f t="shared" si="9"/>
        <v>189.05</v>
      </c>
    </row>
    <row r="582" spans="2:4" x14ac:dyDescent="0.3">
      <c r="B582" s="60" t="s">
        <v>1208</v>
      </c>
      <c r="C582" s="60">
        <v>229</v>
      </c>
      <c r="D582" s="62">
        <f t="shared" si="9"/>
        <v>217.55</v>
      </c>
    </row>
    <row r="583" spans="2:4" x14ac:dyDescent="0.3">
      <c r="B583" s="60" t="s">
        <v>1209</v>
      </c>
      <c r="C583" s="60">
        <v>149</v>
      </c>
      <c r="D583" s="62">
        <f t="shared" si="9"/>
        <v>141.55000000000001</v>
      </c>
    </row>
    <row r="584" spans="2:4" x14ac:dyDescent="0.3">
      <c r="B584" s="60" t="s">
        <v>1210</v>
      </c>
      <c r="C584" s="60">
        <v>229</v>
      </c>
      <c r="D584" s="62">
        <f t="shared" si="9"/>
        <v>217.55</v>
      </c>
    </row>
    <row r="585" spans="2:4" x14ac:dyDescent="0.3">
      <c r="B585" s="60" t="s">
        <v>1211</v>
      </c>
      <c r="C585" s="60">
        <v>229</v>
      </c>
      <c r="D585" s="62">
        <f t="shared" si="9"/>
        <v>217.55</v>
      </c>
    </row>
    <row r="586" spans="2:4" x14ac:dyDescent="0.3">
      <c r="B586" s="60" t="s">
        <v>1212</v>
      </c>
      <c r="C586" s="60">
        <v>199</v>
      </c>
      <c r="D586" s="62">
        <f t="shared" si="9"/>
        <v>189.05</v>
      </c>
    </row>
    <row r="587" spans="2:4" x14ac:dyDescent="0.3">
      <c r="B587" s="60" t="s">
        <v>1213</v>
      </c>
      <c r="C587" s="60">
        <v>299</v>
      </c>
      <c r="D587" s="62">
        <f t="shared" si="9"/>
        <v>284.05</v>
      </c>
    </row>
    <row r="588" spans="2:4" x14ac:dyDescent="0.3">
      <c r="B588" s="60" t="s">
        <v>1214</v>
      </c>
      <c r="C588" s="60">
        <v>249</v>
      </c>
      <c r="D588" s="62">
        <f t="shared" si="9"/>
        <v>236.55</v>
      </c>
    </row>
    <row r="589" spans="2:4" x14ac:dyDescent="0.3">
      <c r="B589" s="60" t="s">
        <v>1215</v>
      </c>
      <c r="C589" s="60">
        <v>149</v>
      </c>
      <c r="D589" s="62">
        <f t="shared" si="9"/>
        <v>141.55000000000001</v>
      </c>
    </row>
    <row r="590" spans="2:4" x14ac:dyDescent="0.3">
      <c r="B590" s="60" t="s">
        <v>1216</v>
      </c>
      <c r="C590" s="60">
        <v>199</v>
      </c>
      <c r="D590" s="62">
        <f t="shared" si="9"/>
        <v>189.05</v>
      </c>
    </row>
    <row r="591" spans="2:4" x14ac:dyDescent="0.3">
      <c r="B591" s="60" t="s">
        <v>1217</v>
      </c>
      <c r="C591" s="60">
        <v>199</v>
      </c>
      <c r="D591" s="62">
        <f t="shared" si="9"/>
        <v>189.05</v>
      </c>
    </row>
    <row r="592" spans="2:4" x14ac:dyDescent="0.3">
      <c r="B592" s="60" t="s">
        <v>1218</v>
      </c>
      <c r="C592" s="60">
        <v>269</v>
      </c>
      <c r="D592" s="62">
        <f t="shared" si="9"/>
        <v>255.55</v>
      </c>
    </row>
    <row r="593" spans="2:4" x14ac:dyDescent="0.3">
      <c r="B593" s="60" t="s">
        <v>1219</v>
      </c>
      <c r="C593" s="60">
        <v>229</v>
      </c>
      <c r="D593" s="62">
        <f t="shared" si="9"/>
        <v>217.55</v>
      </c>
    </row>
    <row r="594" spans="2:4" x14ac:dyDescent="0.3">
      <c r="B594" s="60" t="s">
        <v>1220</v>
      </c>
      <c r="C594" s="60">
        <v>99</v>
      </c>
      <c r="D594" s="62">
        <f t="shared" si="9"/>
        <v>94.05</v>
      </c>
    </row>
    <row r="595" spans="2:4" x14ac:dyDescent="0.3">
      <c r="B595" s="60" t="s">
        <v>1221</v>
      </c>
      <c r="C595" s="60">
        <v>199</v>
      </c>
      <c r="D595" s="62">
        <f t="shared" si="9"/>
        <v>189.05</v>
      </c>
    </row>
    <row r="596" spans="2:4" x14ac:dyDescent="0.3">
      <c r="B596" s="60" t="s">
        <v>1222</v>
      </c>
      <c r="C596" s="60">
        <v>99</v>
      </c>
      <c r="D596" s="62">
        <f t="shared" si="9"/>
        <v>94.05</v>
      </c>
    </row>
    <row r="597" spans="2:4" x14ac:dyDescent="0.3">
      <c r="B597" s="60" t="s">
        <v>1223</v>
      </c>
      <c r="C597" s="60">
        <v>79</v>
      </c>
      <c r="D597" s="62">
        <f t="shared" si="9"/>
        <v>75.05</v>
      </c>
    </row>
    <row r="598" spans="2:4" x14ac:dyDescent="0.3">
      <c r="B598" s="60" t="s">
        <v>1224</v>
      </c>
      <c r="C598" s="60">
        <v>79</v>
      </c>
      <c r="D598" s="62">
        <f t="shared" si="9"/>
        <v>75.05</v>
      </c>
    </row>
    <row r="599" spans="2:4" x14ac:dyDescent="0.3">
      <c r="B599" s="60" t="s">
        <v>1225</v>
      </c>
      <c r="C599" s="60">
        <v>129</v>
      </c>
      <c r="D599" s="62">
        <f t="shared" si="9"/>
        <v>122.55</v>
      </c>
    </row>
    <row r="600" spans="2:4" x14ac:dyDescent="0.3">
      <c r="B600" s="60" t="s">
        <v>1226</v>
      </c>
      <c r="C600" s="60">
        <v>179</v>
      </c>
      <c r="D600" s="62">
        <f t="shared" si="9"/>
        <v>170.05</v>
      </c>
    </row>
    <row r="601" spans="2:4" x14ac:dyDescent="0.3">
      <c r="B601" s="60" t="s">
        <v>1227</v>
      </c>
      <c r="C601" s="60">
        <v>149</v>
      </c>
      <c r="D601" s="62">
        <f t="shared" si="9"/>
        <v>141.55000000000001</v>
      </c>
    </row>
    <row r="602" spans="2:4" x14ac:dyDescent="0.3">
      <c r="B602" s="60" t="s">
        <v>1228</v>
      </c>
      <c r="C602" s="60">
        <v>129</v>
      </c>
      <c r="D602" s="62">
        <f t="shared" si="9"/>
        <v>122.55</v>
      </c>
    </row>
    <row r="603" spans="2:4" x14ac:dyDescent="0.3">
      <c r="B603" s="60" t="s">
        <v>1229</v>
      </c>
      <c r="C603" s="60">
        <v>99</v>
      </c>
      <c r="D603" s="62">
        <f t="shared" si="9"/>
        <v>94.05</v>
      </c>
    </row>
    <row r="604" spans="2:4" x14ac:dyDescent="0.3">
      <c r="B604" s="60" t="s">
        <v>1230</v>
      </c>
      <c r="C604" s="60">
        <v>249</v>
      </c>
      <c r="D604" s="62">
        <f t="shared" si="9"/>
        <v>236.55</v>
      </c>
    </row>
    <row r="605" spans="2:4" x14ac:dyDescent="0.3">
      <c r="B605" s="60" t="s">
        <v>1231</v>
      </c>
      <c r="C605" s="60">
        <v>269</v>
      </c>
      <c r="D605" s="62">
        <f t="shared" si="9"/>
        <v>255.55</v>
      </c>
    </row>
    <row r="606" spans="2:4" x14ac:dyDescent="0.3">
      <c r="B606" s="60" t="s">
        <v>1232</v>
      </c>
      <c r="C606" s="60">
        <v>249</v>
      </c>
      <c r="D606" s="62">
        <f t="shared" si="9"/>
        <v>236.55</v>
      </c>
    </row>
    <row r="607" spans="2:4" x14ac:dyDescent="0.3">
      <c r="B607" s="60" t="s">
        <v>1233</v>
      </c>
      <c r="C607" s="60">
        <v>299</v>
      </c>
      <c r="D607" s="62">
        <f t="shared" si="9"/>
        <v>284.05</v>
      </c>
    </row>
    <row r="608" spans="2:4" x14ac:dyDescent="0.3">
      <c r="B608" s="60" t="s">
        <v>1234</v>
      </c>
      <c r="C608" s="60">
        <v>149</v>
      </c>
      <c r="D608" s="62">
        <f t="shared" si="9"/>
        <v>141.55000000000001</v>
      </c>
    </row>
    <row r="609" spans="2:4" x14ac:dyDescent="0.3">
      <c r="B609" s="60" t="s">
        <v>1235</v>
      </c>
      <c r="C609" s="60">
        <v>149</v>
      </c>
      <c r="D609" s="62">
        <f t="shared" si="9"/>
        <v>141.55000000000001</v>
      </c>
    </row>
    <row r="610" spans="2:4" x14ac:dyDescent="0.3">
      <c r="B610" s="60" t="s">
        <v>1236</v>
      </c>
      <c r="C610" s="60">
        <v>249</v>
      </c>
      <c r="D610" s="62">
        <f t="shared" si="9"/>
        <v>236.55</v>
      </c>
    </row>
    <row r="611" spans="2:4" x14ac:dyDescent="0.3">
      <c r="B611" s="60" t="s">
        <v>1237</v>
      </c>
      <c r="C611" s="60">
        <v>149</v>
      </c>
      <c r="D611" s="62">
        <f t="shared" si="9"/>
        <v>141.55000000000001</v>
      </c>
    </row>
    <row r="612" spans="2:4" x14ac:dyDescent="0.3">
      <c r="B612" s="60" t="s">
        <v>1238</v>
      </c>
      <c r="C612" s="60">
        <v>99</v>
      </c>
      <c r="D612" s="62">
        <f t="shared" si="9"/>
        <v>94.05</v>
      </c>
    </row>
    <row r="613" spans="2:4" x14ac:dyDescent="0.3">
      <c r="B613" s="60" t="s">
        <v>1239</v>
      </c>
      <c r="C613" s="60">
        <v>149</v>
      </c>
      <c r="D613" s="62">
        <f t="shared" si="9"/>
        <v>141.55000000000001</v>
      </c>
    </row>
    <row r="614" spans="2:4" x14ac:dyDescent="0.3">
      <c r="B614" s="60" t="s">
        <v>1240</v>
      </c>
      <c r="C614" s="60">
        <v>149</v>
      </c>
      <c r="D614" s="62">
        <f t="shared" ref="D614:D677" si="10">C614-(C614*(5/100))</f>
        <v>141.55000000000001</v>
      </c>
    </row>
    <row r="615" spans="2:4" x14ac:dyDescent="0.3">
      <c r="B615" s="60" t="s">
        <v>1241</v>
      </c>
      <c r="C615" s="60">
        <v>99</v>
      </c>
      <c r="D615" s="62">
        <f t="shared" si="10"/>
        <v>94.05</v>
      </c>
    </row>
    <row r="616" spans="2:4" x14ac:dyDescent="0.3">
      <c r="B616" s="60" t="s">
        <v>1242</v>
      </c>
      <c r="C616" s="60">
        <v>199</v>
      </c>
      <c r="D616" s="62">
        <f t="shared" si="10"/>
        <v>189.05</v>
      </c>
    </row>
    <row r="617" spans="2:4" x14ac:dyDescent="0.3">
      <c r="B617" s="60" t="s">
        <v>1243</v>
      </c>
      <c r="C617" s="60">
        <v>149</v>
      </c>
      <c r="D617" s="62">
        <f t="shared" si="10"/>
        <v>141.55000000000001</v>
      </c>
    </row>
    <row r="618" spans="2:4" x14ac:dyDescent="0.3">
      <c r="B618" s="60" t="s">
        <v>1244</v>
      </c>
      <c r="C618" s="60">
        <v>149</v>
      </c>
      <c r="D618" s="62">
        <f t="shared" si="10"/>
        <v>141.55000000000001</v>
      </c>
    </row>
    <row r="619" spans="2:4" x14ac:dyDescent="0.3">
      <c r="B619" s="60" t="s">
        <v>1245</v>
      </c>
      <c r="C619" s="60">
        <v>199</v>
      </c>
      <c r="D619" s="62">
        <f t="shared" si="10"/>
        <v>189.05</v>
      </c>
    </row>
    <row r="620" spans="2:4" x14ac:dyDescent="0.3">
      <c r="B620" s="60" t="s">
        <v>1246</v>
      </c>
      <c r="C620" s="60">
        <v>159</v>
      </c>
      <c r="D620" s="62">
        <f t="shared" si="10"/>
        <v>151.05000000000001</v>
      </c>
    </row>
    <row r="621" spans="2:4" x14ac:dyDescent="0.3">
      <c r="B621" s="60" t="s">
        <v>1247</v>
      </c>
      <c r="C621" s="60">
        <v>199</v>
      </c>
      <c r="D621" s="62">
        <f t="shared" si="10"/>
        <v>189.05</v>
      </c>
    </row>
    <row r="622" spans="2:4" x14ac:dyDescent="0.3">
      <c r="B622" s="60" t="s">
        <v>1248</v>
      </c>
      <c r="C622" s="60">
        <v>129</v>
      </c>
      <c r="D622" s="62">
        <f t="shared" si="10"/>
        <v>122.55</v>
      </c>
    </row>
    <row r="623" spans="2:4" x14ac:dyDescent="0.3">
      <c r="B623" s="60" t="s">
        <v>1249</v>
      </c>
      <c r="C623" s="60">
        <v>149</v>
      </c>
      <c r="D623" s="62">
        <f t="shared" si="10"/>
        <v>141.55000000000001</v>
      </c>
    </row>
    <row r="624" spans="2:4" x14ac:dyDescent="0.3">
      <c r="B624" s="60" t="s">
        <v>1250</v>
      </c>
      <c r="C624" s="60">
        <v>129</v>
      </c>
      <c r="D624" s="62">
        <f t="shared" si="10"/>
        <v>122.55</v>
      </c>
    </row>
    <row r="625" spans="2:4" x14ac:dyDescent="0.3">
      <c r="B625" s="60" t="s">
        <v>1251</v>
      </c>
      <c r="C625" s="60">
        <v>209</v>
      </c>
      <c r="D625" s="62">
        <f t="shared" si="10"/>
        <v>198.55</v>
      </c>
    </row>
    <row r="626" spans="2:4" x14ac:dyDescent="0.3">
      <c r="B626" s="60" t="s">
        <v>1252</v>
      </c>
      <c r="C626" s="60">
        <v>79</v>
      </c>
      <c r="D626" s="62">
        <f t="shared" si="10"/>
        <v>75.05</v>
      </c>
    </row>
    <row r="627" spans="2:4" x14ac:dyDescent="0.3">
      <c r="B627" s="60" t="s">
        <v>1253</v>
      </c>
      <c r="C627" s="60">
        <v>399</v>
      </c>
      <c r="D627" s="62">
        <f t="shared" si="10"/>
        <v>379.05</v>
      </c>
    </row>
    <row r="628" spans="2:4" x14ac:dyDescent="0.3">
      <c r="B628" s="60" t="s">
        <v>1254</v>
      </c>
      <c r="C628" s="60">
        <v>399</v>
      </c>
      <c r="D628" s="62">
        <f t="shared" si="10"/>
        <v>379.05</v>
      </c>
    </row>
    <row r="629" spans="2:4" x14ac:dyDescent="0.3">
      <c r="B629" s="60" t="s">
        <v>1255</v>
      </c>
      <c r="C629" s="60">
        <v>399</v>
      </c>
      <c r="D629" s="62">
        <f t="shared" si="10"/>
        <v>379.05</v>
      </c>
    </row>
    <row r="630" spans="2:4" x14ac:dyDescent="0.3">
      <c r="B630" s="60" t="s">
        <v>1256</v>
      </c>
      <c r="C630" s="60">
        <v>499</v>
      </c>
      <c r="D630" s="62">
        <f t="shared" si="10"/>
        <v>474.05</v>
      </c>
    </row>
    <row r="631" spans="2:4" x14ac:dyDescent="0.3">
      <c r="B631" s="60" t="s">
        <v>1257</v>
      </c>
      <c r="C631" s="60">
        <v>499</v>
      </c>
      <c r="D631" s="62">
        <f t="shared" si="10"/>
        <v>474.05</v>
      </c>
    </row>
    <row r="632" spans="2:4" x14ac:dyDescent="0.3">
      <c r="B632" s="60" t="s">
        <v>1258</v>
      </c>
      <c r="C632" s="60">
        <v>549</v>
      </c>
      <c r="D632" s="62">
        <f t="shared" si="10"/>
        <v>521.54999999999995</v>
      </c>
    </row>
    <row r="633" spans="2:4" x14ac:dyDescent="0.3">
      <c r="B633" s="60" t="s">
        <v>1259</v>
      </c>
      <c r="C633" s="60">
        <v>499</v>
      </c>
      <c r="D633" s="62">
        <f t="shared" si="10"/>
        <v>474.05</v>
      </c>
    </row>
    <row r="634" spans="2:4" x14ac:dyDescent="0.3">
      <c r="B634" s="60" t="s">
        <v>1260</v>
      </c>
      <c r="C634" s="60">
        <v>399</v>
      </c>
      <c r="D634" s="62">
        <f t="shared" si="10"/>
        <v>379.05</v>
      </c>
    </row>
    <row r="635" spans="2:4" x14ac:dyDescent="0.3">
      <c r="B635" s="60" t="s">
        <v>1261</v>
      </c>
      <c r="C635" s="60">
        <v>529</v>
      </c>
      <c r="D635" s="62">
        <f t="shared" si="10"/>
        <v>502.55</v>
      </c>
    </row>
    <row r="636" spans="2:4" x14ac:dyDescent="0.3">
      <c r="B636" s="60" t="s">
        <v>1262</v>
      </c>
      <c r="C636" s="60">
        <v>599</v>
      </c>
      <c r="D636" s="62">
        <f t="shared" si="10"/>
        <v>569.04999999999995</v>
      </c>
    </row>
    <row r="637" spans="2:4" x14ac:dyDescent="0.3">
      <c r="B637" s="60" t="s">
        <v>1263</v>
      </c>
      <c r="C637" s="60">
        <v>499</v>
      </c>
      <c r="D637" s="62">
        <f t="shared" si="10"/>
        <v>474.05</v>
      </c>
    </row>
    <row r="638" spans="2:4" x14ac:dyDescent="0.3">
      <c r="B638" s="60" t="s">
        <v>1264</v>
      </c>
      <c r="C638" s="60">
        <v>399</v>
      </c>
      <c r="D638" s="62">
        <f t="shared" si="10"/>
        <v>379.05</v>
      </c>
    </row>
    <row r="639" spans="2:4" x14ac:dyDescent="0.3">
      <c r="B639" s="60" t="s">
        <v>1265</v>
      </c>
      <c r="C639" s="60">
        <v>449</v>
      </c>
      <c r="D639" s="62">
        <f t="shared" si="10"/>
        <v>426.55</v>
      </c>
    </row>
    <row r="640" spans="2:4" x14ac:dyDescent="0.3">
      <c r="B640" s="60" t="s">
        <v>1266</v>
      </c>
      <c r="C640" s="60">
        <v>599</v>
      </c>
      <c r="D640" s="62">
        <f t="shared" si="10"/>
        <v>569.04999999999995</v>
      </c>
    </row>
    <row r="641" spans="2:4" x14ac:dyDescent="0.3">
      <c r="B641" s="60" t="s">
        <v>1267</v>
      </c>
      <c r="C641" s="60">
        <v>499</v>
      </c>
      <c r="D641" s="62">
        <f t="shared" si="10"/>
        <v>474.05</v>
      </c>
    </row>
    <row r="642" spans="2:4" x14ac:dyDescent="0.3">
      <c r="B642" s="60" t="s">
        <v>1268</v>
      </c>
      <c r="C642" s="60">
        <v>199</v>
      </c>
      <c r="D642" s="62">
        <f t="shared" si="10"/>
        <v>189.05</v>
      </c>
    </row>
    <row r="643" spans="2:4" x14ac:dyDescent="0.3">
      <c r="B643" s="60" t="s">
        <v>1269</v>
      </c>
      <c r="C643" s="60">
        <v>159</v>
      </c>
      <c r="D643" s="62">
        <f t="shared" si="10"/>
        <v>151.05000000000001</v>
      </c>
    </row>
    <row r="644" spans="2:4" x14ac:dyDescent="0.3">
      <c r="B644" s="60" t="s">
        <v>1270</v>
      </c>
      <c r="C644" s="60">
        <v>99</v>
      </c>
      <c r="D644" s="62">
        <f t="shared" si="10"/>
        <v>94.05</v>
      </c>
    </row>
    <row r="645" spans="2:4" x14ac:dyDescent="0.3">
      <c r="B645" s="60" t="s">
        <v>1271</v>
      </c>
      <c r="C645" s="60">
        <v>149</v>
      </c>
      <c r="D645" s="62">
        <f t="shared" si="10"/>
        <v>141.55000000000001</v>
      </c>
    </row>
    <row r="646" spans="2:4" x14ac:dyDescent="0.3">
      <c r="B646" s="60" t="s">
        <v>1272</v>
      </c>
      <c r="C646" s="60">
        <v>199</v>
      </c>
      <c r="D646" s="62">
        <f t="shared" si="10"/>
        <v>189.05</v>
      </c>
    </row>
    <row r="647" spans="2:4" x14ac:dyDescent="0.3">
      <c r="B647" s="60" t="s">
        <v>1273</v>
      </c>
      <c r="C647" s="60">
        <v>159</v>
      </c>
      <c r="D647" s="62">
        <f t="shared" si="10"/>
        <v>151.05000000000001</v>
      </c>
    </row>
    <row r="648" spans="2:4" x14ac:dyDescent="0.3">
      <c r="B648" s="60" t="s">
        <v>1274</v>
      </c>
      <c r="C648" s="60">
        <v>249</v>
      </c>
      <c r="D648" s="62">
        <f t="shared" si="10"/>
        <v>236.55</v>
      </c>
    </row>
    <row r="649" spans="2:4" x14ac:dyDescent="0.3">
      <c r="B649" s="60" t="s">
        <v>1275</v>
      </c>
      <c r="C649" s="60">
        <v>149</v>
      </c>
      <c r="D649" s="62">
        <f t="shared" si="10"/>
        <v>141.55000000000001</v>
      </c>
    </row>
    <row r="650" spans="2:4" x14ac:dyDescent="0.3">
      <c r="B650" s="60" t="s">
        <v>1276</v>
      </c>
      <c r="C650" s="60">
        <v>199</v>
      </c>
      <c r="D650" s="62">
        <f t="shared" si="10"/>
        <v>189.05</v>
      </c>
    </row>
    <row r="651" spans="2:4" x14ac:dyDescent="0.3">
      <c r="B651" s="60" t="s">
        <v>1277</v>
      </c>
      <c r="C651" s="60">
        <v>399</v>
      </c>
      <c r="D651" s="62">
        <f t="shared" si="10"/>
        <v>379.05</v>
      </c>
    </row>
    <row r="652" spans="2:4" x14ac:dyDescent="0.3">
      <c r="B652" s="60" t="s">
        <v>1278</v>
      </c>
      <c r="C652" s="60">
        <v>349</v>
      </c>
      <c r="D652" s="62">
        <f t="shared" si="10"/>
        <v>331.55</v>
      </c>
    </row>
    <row r="653" spans="2:4" x14ac:dyDescent="0.3">
      <c r="B653" s="60" t="s">
        <v>1279</v>
      </c>
      <c r="C653" s="60">
        <v>249</v>
      </c>
      <c r="D653" s="62">
        <f t="shared" si="10"/>
        <v>236.55</v>
      </c>
    </row>
    <row r="654" spans="2:4" x14ac:dyDescent="0.3">
      <c r="B654" s="60" t="s">
        <v>1280</v>
      </c>
      <c r="C654" s="60">
        <v>169</v>
      </c>
      <c r="D654" s="62">
        <f t="shared" si="10"/>
        <v>160.55000000000001</v>
      </c>
    </row>
    <row r="655" spans="2:4" x14ac:dyDescent="0.3">
      <c r="B655" s="60" t="s">
        <v>1281</v>
      </c>
      <c r="C655" s="60">
        <v>149</v>
      </c>
      <c r="D655" s="62">
        <f t="shared" si="10"/>
        <v>141.55000000000001</v>
      </c>
    </row>
    <row r="656" spans="2:4" x14ac:dyDescent="0.3">
      <c r="B656" s="60" t="s">
        <v>1282</v>
      </c>
      <c r="C656" s="60">
        <v>249</v>
      </c>
      <c r="D656" s="62">
        <f t="shared" si="10"/>
        <v>236.55</v>
      </c>
    </row>
    <row r="657" spans="2:4" x14ac:dyDescent="0.3">
      <c r="B657" s="60" t="s">
        <v>1283</v>
      </c>
      <c r="C657" s="60">
        <v>179</v>
      </c>
      <c r="D657" s="62">
        <f t="shared" si="10"/>
        <v>170.05</v>
      </c>
    </row>
    <row r="658" spans="2:4" x14ac:dyDescent="0.3">
      <c r="B658" s="60" t="s">
        <v>1284</v>
      </c>
      <c r="C658" s="60">
        <v>249</v>
      </c>
      <c r="D658" s="62">
        <f t="shared" si="10"/>
        <v>236.55</v>
      </c>
    </row>
    <row r="659" spans="2:4" x14ac:dyDescent="0.3">
      <c r="B659" s="60" t="s">
        <v>1285</v>
      </c>
      <c r="C659" s="60">
        <v>149</v>
      </c>
      <c r="D659" s="62">
        <f t="shared" si="10"/>
        <v>141.55000000000001</v>
      </c>
    </row>
    <row r="660" spans="2:4" x14ac:dyDescent="0.3">
      <c r="B660" s="60" t="s">
        <v>1286</v>
      </c>
      <c r="C660" s="60">
        <v>129</v>
      </c>
      <c r="D660" s="62">
        <f t="shared" si="10"/>
        <v>122.55</v>
      </c>
    </row>
    <row r="661" spans="2:4" x14ac:dyDescent="0.3">
      <c r="B661" s="60" t="s">
        <v>1287</v>
      </c>
      <c r="C661" s="60">
        <v>149</v>
      </c>
      <c r="D661" s="62">
        <f t="shared" si="10"/>
        <v>141.55000000000001</v>
      </c>
    </row>
    <row r="662" spans="2:4" x14ac:dyDescent="0.3">
      <c r="B662" s="60" t="s">
        <v>1288</v>
      </c>
      <c r="C662" s="60">
        <v>299</v>
      </c>
      <c r="D662" s="62">
        <f t="shared" si="10"/>
        <v>284.05</v>
      </c>
    </row>
    <row r="663" spans="2:4" x14ac:dyDescent="0.3">
      <c r="B663" s="60" t="s">
        <v>1289</v>
      </c>
      <c r="C663" s="60">
        <v>269</v>
      </c>
      <c r="D663" s="62">
        <f t="shared" si="10"/>
        <v>255.55</v>
      </c>
    </row>
    <row r="664" spans="2:4" x14ac:dyDescent="0.3">
      <c r="B664" s="60" t="s">
        <v>1290</v>
      </c>
      <c r="C664" s="60">
        <v>329</v>
      </c>
      <c r="D664" s="62">
        <f t="shared" si="10"/>
        <v>312.55</v>
      </c>
    </row>
    <row r="665" spans="2:4" x14ac:dyDescent="0.3">
      <c r="B665" s="60" t="s">
        <v>1291</v>
      </c>
      <c r="C665" s="60">
        <v>499</v>
      </c>
      <c r="D665" s="62">
        <f t="shared" si="10"/>
        <v>474.05</v>
      </c>
    </row>
    <row r="666" spans="2:4" x14ac:dyDescent="0.3">
      <c r="B666" s="60" t="s">
        <v>1292</v>
      </c>
      <c r="C666" s="60">
        <v>549</v>
      </c>
      <c r="D666" s="62">
        <f t="shared" si="10"/>
        <v>521.54999999999995</v>
      </c>
    </row>
    <row r="667" spans="2:4" x14ac:dyDescent="0.3">
      <c r="B667" s="60" t="s">
        <v>1293</v>
      </c>
      <c r="C667" s="60">
        <v>549</v>
      </c>
      <c r="D667" s="62">
        <f t="shared" si="10"/>
        <v>521.54999999999995</v>
      </c>
    </row>
    <row r="668" spans="2:4" x14ac:dyDescent="0.3">
      <c r="B668" s="60" t="s">
        <v>1294</v>
      </c>
      <c r="C668" s="60">
        <v>399</v>
      </c>
      <c r="D668" s="62">
        <f t="shared" si="10"/>
        <v>379.05</v>
      </c>
    </row>
    <row r="669" spans="2:4" x14ac:dyDescent="0.3">
      <c r="B669" s="60" t="s">
        <v>1295</v>
      </c>
      <c r="C669" s="60">
        <v>499</v>
      </c>
      <c r="D669" s="62">
        <f t="shared" si="10"/>
        <v>474.05</v>
      </c>
    </row>
    <row r="670" spans="2:4" x14ac:dyDescent="0.3">
      <c r="B670" s="60" t="s">
        <v>1296</v>
      </c>
      <c r="C670" s="60">
        <v>399</v>
      </c>
      <c r="D670" s="62">
        <f t="shared" si="10"/>
        <v>379.05</v>
      </c>
    </row>
    <row r="671" spans="2:4" x14ac:dyDescent="0.3">
      <c r="B671" s="60" t="s">
        <v>1297</v>
      </c>
      <c r="C671" s="60">
        <v>349</v>
      </c>
      <c r="D671" s="62">
        <f t="shared" si="10"/>
        <v>331.55</v>
      </c>
    </row>
    <row r="672" spans="2:4" x14ac:dyDescent="0.3">
      <c r="B672" s="60" t="s">
        <v>1298</v>
      </c>
      <c r="C672" s="60">
        <v>199</v>
      </c>
      <c r="D672" s="62">
        <f t="shared" si="10"/>
        <v>189.05</v>
      </c>
    </row>
    <row r="673" spans="2:4" x14ac:dyDescent="0.3">
      <c r="B673" s="60" t="s">
        <v>1299</v>
      </c>
      <c r="C673" s="60">
        <v>399</v>
      </c>
      <c r="D673" s="62">
        <f t="shared" si="10"/>
        <v>379.05</v>
      </c>
    </row>
    <row r="674" spans="2:4" x14ac:dyDescent="0.3">
      <c r="B674" s="60" t="s">
        <v>1300</v>
      </c>
      <c r="C674" s="60">
        <v>299</v>
      </c>
      <c r="D674" s="62">
        <f t="shared" si="10"/>
        <v>284.05</v>
      </c>
    </row>
    <row r="675" spans="2:4" x14ac:dyDescent="0.3">
      <c r="B675" s="60" t="s">
        <v>1301</v>
      </c>
      <c r="C675" s="60">
        <v>249</v>
      </c>
      <c r="D675" s="62">
        <f t="shared" si="10"/>
        <v>236.55</v>
      </c>
    </row>
    <row r="676" spans="2:4" x14ac:dyDescent="0.3">
      <c r="B676" s="60" t="s">
        <v>1302</v>
      </c>
      <c r="C676" s="60">
        <v>199</v>
      </c>
      <c r="D676" s="62">
        <f t="shared" si="10"/>
        <v>189.05</v>
      </c>
    </row>
    <row r="677" spans="2:4" x14ac:dyDescent="0.3">
      <c r="B677" s="60" t="s">
        <v>1303</v>
      </c>
      <c r="C677" s="60">
        <v>249</v>
      </c>
      <c r="D677" s="62">
        <f t="shared" si="10"/>
        <v>236.55</v>
      </c>
    </row>
    <row r="678" spans="2:4" x14ac:dyDescent="0.3">
      <c r="B678" s="60" t="s">
        <v>1304</v>
      </c>
      <c r="C678" s="60">
        <v>149</v>
      </c>
      <c r="D678" s="62">
        <f t="shared" ref="D678:D695" si="11">C678-(C678*(5/100))</f>
        <v>141.55000000000001</v>
      </c>
    </row>
    <row r="679" spans="2:4" x14ac:dyDescent="0.3">
      <c r="B679" s="60" t="s">
        <v>1305</v>
      </c>
      <c r="C679" s="60">
        <v>249</v>
      </c>
      <c r="D679" s="62">
        <f t="shared" si="11"/>
        <v>236.55</v>
      </c>
    </row>
    <row r="680" spans="2:4" x14ac:dyDescent="0.3">
      <c r="B680" s="60" t="s">
        <v>1306</v>
      </c>
      <c r="C680" s="60">
        <v>499</v>
      </c>
      <c r="D680" s="62">
        <f t="shared" si="11"/>
        <v>474.05</v>
      </c>
    </row>
    <row r="681" spans="2:4" x14ac:dyDescent="0.3">
      <c r="B681" s="60" t="s">
        <v>1307</v>
      </c>
      <c r="C681" s="60">
        <v>209</v>
      </c>
      <c r="D681" s="62">
        <f t="shared" si="11"/>
        <v>198.55</v>
      </c>
    </row>
    <row r="682" spans="2:4" x14ac:dyDescent="0.3">
      <c r="B682" s="60" t="s">
        <v>1308</v>
      </c>
      <c r="C682" s="60">
        <v>149</v>
      </c>
      <c r="D682" s="62">
        <f t="shared" si="11"/>
        <v>141.55000000000001</v>
      </c>
    </row>
    <row r="683" spans="2:4" x14ac:dyDescent="0.3">
      <c r="B683" s="60" t="s">
        <v>1309</v>
      </c>
      <c r="C683" s="60">
        <v>149</v>
      </c>
      <c r="D683" s="62">
        <f t="shared" si="11"/>
        <v>141.55000000000001</v>
      </c>
    </row>
    <row r="684" spans="2:4" x14ac:dyDescent="0.3">
      <c r="B684" s="60" t="s">
        <v>1310</v>
      </c>
      <c r="C684" s="60">
        <v>149</v>
      </c>
      <c r="D684" s="62">
        <f t="shared" si="11"/>
        <v>141.55000000000001</v>
      </c>
    </row>
    <row r="685" spans="2:4" x14ac:dyDescent="0.3">
      <c r="B685" s="60" t="s">
        <v>1311</v>
      </c>
      <c r="C685" s="60">
        <v>129</v>
      </c>
      <c r="D685" s="62">
        <f t="shared" si="11"/>
        <v>122.55</v>
      </c>
    </row>
    <row r="686" spans="2:4" x14ac:dyDescent="0.3">
      <c r="B686" s="60" t="s">
        <v>1312</v>
      </c>
      <c r="C686" s="60">
        <v>199</v>
      </c>
      <c r="D686" s="62">
        <f t="shared" si="11"/>
        <v>189.05</v>
      </c>
    </row>
    <row r="687" spans="2:4" x14ac:dyDescent="0.3">
      <c r="B687" s="60" t="s">
        <v>1313</v>
      </c>
      <c r="C687" s="60">
        <v>149</v>
      </c>
      <c r="D687" s="62">
        <f t="shared" si="11"/>
        <v>141.55000000000001</v>
      </c>
    </row>
    <row r="688" spans="2:4" x14ac:dyDescent="0.3">
      <c r="B688" s="60" t="s">
        <v>1314</v>
      </c>
      <c r="C688" s="60">
        <v>129</v>
      </c>
      <c r="D688" s="62">
        <f t="shared" si="11"/>
        <v>122.55</v>
      </c>
    </row>
    <row r="689" spans="2:4" x14ac:dyDescent="0.3">
      <c r="B689" s="60" t="s">
        <v>1315</v>
      </c>
      <c r="C689" s="60">
        <v>199</v>
      </c>
      <c r="D689" s="62">
        <f t="shared" si="11"/>
        <v>189.05</v>
      </c>
    </row>
    <row r="690" spans="2:4" x14ac:dyDescent="0.3">
      <c r="B690" s="60" t="s">
        <v>1316</v>
      </c>
      <c r="C690" s="60">
        <v>249</v>
      </c>
      <c r="D690" s="62">
        <f t="shared" si="11"/>
        <v>236.55</v>
      </c>
    </row>
    <row r="691" spans="2:4" x14ac:dyDescent="0.3">
      <c r="B691" s="60" t="s">
        <v>1317</v>
      </c>
      <c r="C691" s="60">
        <v>999</v>
      </c>
      <c r="D691" s="62">
        <f t="shared" si="11"/>
        <v>949.05</v>
      </c>
    </row>
    <row r="692" spans="2:4" x14ac:dyDescent="0.3">
      <c r="B692" s="60" t="s">
        <v>1318</v>
      </c>
      <c r="C692" s="60">
        <v>1299</v>
      </c>
      <c r="D692" s="62">
        <f t="shared" si="11"/>
        <v>1234.05</v>
      </c>
    </row>
    <row r="693" spans="2:4" x14ac:dyDescent="0.3">
      <c r="B693" s="60" t="s">
        <v>1319</v>
      </c>
      <c r="C693" s="60">
        <v>1599</v>
      </c>
      <c r="D693" s="62">
        <f t="shared" si="11"/>
        <v>1519.05</v>
      </c>
    </row>
    <row r="694" spans="2:4" x14ac:dyDescent="0.3">
      <c r="B694" s="60" t="s">
        <v>1320</v>
      </c>
      <c r="C694" s="60">
        <v>599</v>
      </c>
      <c r="D694" s="62">
        <f t="shared" si="11"/>
        <v>569.04999999999995</v>
      </c>
    </row>
    <row r="695" spans="2:4" x14ac:dyDescent="0.3">
      <c r="B695" s="60" t="s">
        <v>1321</v>
      </c>
      <c r="C695" s="60">
        <v>199</v>
      </c>
      <c r="D695" s="62">
        <f t="shared" si="11"/>
        <v>189.05</v>
      </c>
    </row>
    <row r="696" spans="2:4" x14ac:dyDescent="0.3">
      <c r="B696" s="60" t="s">
        <v>48</v>
      </c>
      <c r="C696" s="60">
        <v>179</v>
      </c>
      <c r="D696" s="62">
        <f t="shared" ref="D696:D749" si="12">C696-(C696*(5/100))</f>
        <v>170.05</v>
      </c>
    </row>
    <row r="697" spans="2:4" x14ac:dyDescent="0.3">
      <c r="B697" s="60" t="s">
        <v>49</v>
      </c>
      <c r="C697" s="60">
        <v>249</v>
      </c>
      <c r="D697" s="62">
        <f t="shared" si="12"/>
        <v>236.55</v>
      </c>
    </row>
    <row r="698" spans="2:4" x14ac:dyDescent="0.3">
      <c r="B698" s="60" t="s">
        <v>50</v>
      </c>
      <c r="C698" s="60">
        <v>299</v>
      </c>
      <c r="D698" s="62">
        <f t="shared" si="12"/>
        <v>284.05</v>
      </c>
    </row>
    <row r="699" spans="2:4" x14ac:dyDescent="0.3">
      <c r="B699" s="60" t="s">
        <v>51</v>
      </c>
      <c r="C699" s="60">
        <v>149</v>
      </c>
      <c r="D699" s="62">
        <f t="shared" si="12"/>
        <v>141.55000000000001</v>
      </c>
    </row>
    <row r="700" spans="2:4" x14ac:dyDescent="0.3">
      <c r="B700" s="60" t="s">
        <v>52</v>
      </c>
      <c r="C700" s="60">
        <v>249</v>
      </c>
      <c r="D700" s="62">
        <f t="shared" si="12"/>
        <v>236.55</v>
      </c>
    </row>
    <row r="701" spans="2:4" x14ac:dyDescent="0.3">
      <c r="B701" s="60" t="s">
        <v>53</v>
      </c>
      <c r="C701" s="60">
        <v>249</v>
      </c>
      <c r="D701" s="62">
        <f t="shared" si="12"/>
        <v>236.55</v>
      </c>
    </row>
    <row r="702" spans="2:4" x14ac:dyDescent="0.3">
      <c r="B702" s="60" t="s">
        <v>54</v>
      </c>
      <c r="C702" s="60">
        <v>249</v>
      </c>
      <c r="D702" s="62">
        <f t="shared" si="12"/>
        <v>236.55</v>
      </c>
    </row>
    <row r="703" spans="2:4" x14ac:dyDescent="0.3">
      <c r="B703" s="60" t="s">
        <v>55</v>
      </c>
      <c r="C703" s="60">
        <v>249</v>
      </c>
      <c r="D703" s="62">
        <f t="shared" si="12"/>
        <v>236.55</v>
      </c>
    </row>
    <row r="704" spans="2:4" x14ac:dyDescent="0.3">
      <c r="B704" s="60" t="s">
        <v>56</v>
      </c>
      <c r="C704" s="60">
        <v>249</v>
      </c>
      <c r="D704" s="62">
        <f t="shared" si="12"/>
        <v>236.55</v>
      </c>
    </row>
    <row r="705" spans="2:4" x14ac:dyDescent="0.3">
      <c r="B705" s="60" t="s">
        <v>57</v>
      </c>
      <c r="C705" s="60">
        <v>249</v>
      </c>
      <c r="D705" s="62">
        <f t="shared" si="12"/>
        <v>236.55</v>
      </c>
    </row>
    <row r="706" spans="2:4" x14ac:dyDescent="0.3">
      <c r="B706" s="60" t="s">
        <v>58</v>
      </c>
      <c r="C706" s="60">
        <v>249</v>
      </c>
      <c r="D706" s="62">
        <f t="shared" si="12"/>
        <v>236.55</v>
      </c>
    </row>
    <row r="707" spans="2:4" x14ac:dyDescent="0.3">
      <c r="B707" s="60" t="s">
        <v>59</v>
      </c>
      <c r="C707" s="60">
        <v>249</v>
      </c>
      <c r="D707" s="62">
        <f t="shared" si="12"/>
        <v>236.55</v>
      </c>
    </row>
    <row r="708" spans="2:4" x14ac:dyDescent="0.3">
      <c r="B708" s="60" t="s">
        <v>60</v>
      </c>
      <c r="C708" s="60">
        <v>249</v>
      </c>
      <c r="D708" s="62">
        <f t="shared" si="12"/>
        <v>236.55</v>
      </c>
    </row>
    <row r="709" spans="2:4" x14ac:dyDescent="0.3">
      <c r="B709" s="60" t="s">
        <v>61</v>
      </c>
      <c r="C709" s="60">
        <v>249</v>
      </c>
      <c r="D709" s="62">
        <f t="shared" si="12"/>
        <v>236.55</v>
      </c>
    </row>
    <row r="710" spans="2:4" x14ac:dyDescent="0.3">
      <c r="B710" s="60" t="s">
        <v>62</v>
      </c>
      <c r="C710" s="60">
        <v>249</v>
      </c>
      <c r="D710" s="62">
        <f t="shared" si="12"/>
        <v>236.55</v>
      </c>
    </row>
    <row r="711" spans="2:4" x14ac:dyDescent="0.3">
      <c r="B711" s="60" t="s">
        <v>63</v>
      </c>
      <c r="C711" s="60">
        <v>249</v>
      </c>
      <c r="D711" s="62">
        <f t="shared" si="12"/>
        <v>236.55</v>
      </c>
    </row>
    <row r="712" spans="2:4" x14ac:dyDescent="0.3">
      <c r="B712" s="60" t="s">
        <v>64</v>
      </c>
      <c r="C712" s="60">
        <v>249</v>
      </c>
      <c r="D712" s="62">
        <f t="shared" si="12"/>
        <v>236.55</v>
      </c>
    </row>
    <row r="713" spans="2:4" x14ac:dyDescent="0.3">
      <c r="B713" s="60" t="s">
        <v>65</v>
      </c>
      <c r="C713" s="60">
        <v>329</v>
      </c>
      <c r="D713" s="62">
        <f t="shared" si="12"/>
        <v>312.55</v>
      </c>
    </row>
    <row r="714" spans="2:4" x14ac:dyDescent="0.3">
      <c r="B714" s="60" t="s">
        <v>66</v>
      </c>
      <c r="C714" s="60">
        <v>199</v>
      </c>
      <c r="D714" s="62">
        <f t="shared" si="12"/>
        <v>189.05</v>
      </c>
    </row>
    <row r="715" spans="2:4" x14ac:dyDescent="0.3">
      <c r="B715" s="60" t="s">
        <v>67</v>
      </c>
      <c r="C715" s="60">
        <v>249</v>
      </c>
      <c r="D715" s="62">
        <f t="shared" si="12"/>
        <v>236.55</v>
      </c>
    </row>
    <row r="716" spans="2:4" x14ac:dyDescent="0.3">
      <c r="B716" s="60" t="s">
        <v>68</v>
      </c>
      <c r="C716" s="60">
        <v>490.26</v>
      </c>
      <c r="D716" s="62">
        <f t="shared" si="12"/>
        <v>465.74700000000001</v>
      </c>
    </row>
    <row r="717" spans="2:4" x14ac:dyDescent="0.3">
      <c r="B717" s="60" t="s">
        <v>69</v>
      </c>
      <c r="C717" s="60">
        <v>249</v>
      </c>
      <c r="D717" s="62">
        <f t="shared" si="12"/>
        <v>236.55</v>
      </c>
    </row>
    <row r="718" spans="2:4" x14ac:dyDescent="0.3">
      <c r="B718" s="60" t="s">
        <v>70</v>
      </c>
      <c r="C718" s="60">
        <v>249</v>
      </c>
      <c r="D718" s="62">
        <f t="shared" si="12"/>
        <v>236.55</v>
      </c>
    </row>
    <row r="719" spans="2:4" x14ac:dyDescent="0.3">
      <c r="B719" s="60" t="s">
        <v>71</v>
      </c>
      <c r="C719" s="60">
        <v>119</v>
      </c>
      <c r="D719" s="62">
        <f t="shared" si="12"/>
        <v>113.05</v>
      </c>
    </row>
    <row r="720" spans="2:4" x14ac:dyDescent="0.3">
      <c r="B720" s="60" t="s">
        <v>72</v>
      </c>
      <c r="C720" s="60">
        <v>199</v>
      </c>
      <c r="D720" s="62">
        <f t="shared" si="12"/>
        <v>189.05</v>
      </c>
    </row>
    <row r="721" spans="2:4" x14ac:dyDescent="0.3">
      <c r="B721" s="60" t="s">
        <v>73</v>
      </c>
      <c r="C721" s="60">
        <v>199</v>
      </c>
      <c r="D721" s="62">
        <f t="shared" si="12"/>
        <v>189.05</v>
      </c>
    </row>
    <row r="722" spans="2:4" x14ac:dyDescent="0.3">
      <c r="B722" s="60" t="s">
        <v>74</v>
      </c>
      <c r="C722" s="60">
        <v>249</v>
      </c>
      <c r="D722" s="62">
        <f t="shared" si="12"/>
        <v>236.55</v>
      </c>
    </row>
    <row r="723" spans="2:4" x14ac:dyDescent="0.3">
      <c r="B723" s="60" t="s">
        <v>75</v>
      </c>
      <c r="C723" s="60">
        <v>99</v>
      </c>
      <c r="D723" s="62">
        <f t="shared" si="12"/>
        <v>94.05</v>
      </c>
    </row>
    <row r="724" spans="2:4" x14ac:dyDescent="0.3">
      <c r="B724" s="60" t="s">
        <v>76</v>
      </c>
      <c r="C724" s="60">
        <v>299</v>
      </c>
      <c r="D724" s="62">
        <f t="shared" si="12"/>
        <v>284.05</v>
      </c>
    </row>
    <row r="725" spans="2:4" x14ac:dyDescent="0.3">
      <c r="B725" s="60" t="s">
        <v>77</v>
      </c>
      <c r="C725" s="60">
        <v>249</v>
      </c>
      <c r="D725" s="62">
        <f t="shared" si="12"/>
        <v>236.55</v>
      </c>
    </row>
    <row r="726" spans="2:4" x14ac:dyDescent="0.3">
      <c r="B726" s="60" t="s">
        <v>78</v>
      </c>
      <c r="C726" s="60">
        <v>99</v>
      </c>
      <c r="D726" s="62">
        <f t="shared" si="12"/>
        <v>94.05</v>
      </c>
    </row>
    <row r="727" spans="2:4" x14ac:dyDescent="0.3">
      <c r="B727" s="60" t="s">
        <v>79</v>
      </c>
      <c r="C727" s="60">
        <v>399</v>
      </c>
      <c r="D727" s="62">
        <f t="shared" si="12"/>
        <v>379.05</v>
      </c>
    </row>
    <row r="728" spans="2:4" x14ac:dyDescent="0.3">
      <c r="B728" s="60" t="s">
        <v>80</v>
      </c>
      <c r="C728" s="60">
        <v>249</v>
      </c>
      <c r="D728" s="62">
        <f t="shared" si="12"/>
        <v>236.55</v>
      </c>
    </row>
    <row r="729" spans="2:4" x14ac:dyDescent="0.3">
      <c r="B729" s="60" t="s">
        <v>81</v>
      </c>
      <c r="C729" s="60">
        <v>299</v>
      </c>
      <c r="D729" s="62">
        <f t="shared" si="12"/>
        <v>284.05</v>
      </c>
    </row>
    <row r="730" spans="2:4" x14ac:dyDescent="0.3">
      <c r="B730" s="60" t="s">
        <v>82</v>
      </c>
      <c r="C730" s="60">
        <v>178.53</v>
      </c>
      <c r="D730" s="62">
        <f t="shared" si="12"/>
        <v>169.6035</v>
      </c>
    </row>
    <row r="731" spans="2:4" x14ac:dyDescent="0.3">
      <c r="B731" s="60" t="s">
        <v>83</v>
      </c>
      <c r="C731" s="60">
        <v>249</v>
      </c>
      <c r="D731" s="62">
        <f t="shared" si="12"/>
        <v>236.55</v>
      </c>
    </row>
    <row r="732" spans="2:4" x14ac:dyDescent="0.3">
      <c r="B732" s="60" t="s">
        <v>84</v>
      </c>
      <c r="C732" s="60">
        <v>99</v>
      </c>
      <c r="D732" s="62">
        <f t="shared" si="12"/>
        <v>94.05</v>
      </c>
    </row>
    <row r="733" spans="2:4" x14ac:dyDescent="0.3">
      <c r="B733" s="60" t="s">
        <v>85</v>
      </c>
      <c r="C733" s="60">
        <v>99</v>
      </c>
      <c r="D733" s="62">
        <f t="shared" si="12"/>
        <v>94.05</v>
      </c>
    </row>
    <row r="734" spans="2:4" x14ac:dyDescent="0.3">
      <c r="B734" s="60" t="s">
        <v>86</v>
      </c>
      <c r="C734" s="60">
        <v>99</v>
      </c>
      <c r="D734" s="62">
        <f t="shared" si="12"/>
        <v>94.05</v>
      </c>
    </row>
    <row r="735" spans="2:4" x14ac:dyDescent="0.3">
      <c r="B735" s="60" t="s">
        <v>87</v>
      </c>
      <c r="C735" s="60">
        <v>99</v>
      </c>
      <c r="D735" s="62">
        <f t="shared" si="12"/>
        <v>94.05</v>
      </c>
    </row>
    <row r="736" spans="2:4" x14ac:dyDescent="0.3">
      <c r="B736" s="60" t="s">
        <v>88</v>
      </c>
      <c r="C736" s="60">
        <v>129</v>
      </c>
      <c r="D736" s="62">
        <f t="shared" si="12"/>
        <v>122.55</v>
      </c>
    </row>
    <row r="737" spans="2:4" x14ac:dyDescent="0.3">
      <c r="B737" s="60" t="s">
        <v>89</v>
      </c>
      <c r="C737" s="60">
        <v>129</v>
      </c>
      <c r="D737" s="62">
        <f t="shared" si="12"/>
        <v>122.55</v>
      </c>
    </row>
    <row r="738" spans="2:4" x14ac:dyDescent="0.3">
      <c r="B738" s="60" t="s">
        <v>90</v>
      </c>
      <c r="C738" s="60">
        <v>199</v>
      </c>
      <c r="D738" s="62">
        <f t="shared" si="12"/>
        <v>189.05</v>
      </c>
    </row>
    <row r="739" spans="2:4" x14ac:dyDescent="0.3">
      <c r="B739" s="60" t="s">
        <v>91</v>
      </c>
      <c r="C739" s="60">
        <v>399</v>
      </c>
      <c r="D739" s="62">
        <f t="shared" si="12"/>
        <v>379.05</v>
      </c>
    </row>
    <row r="740" spans="2:4" x14ac:dyDescent="0.3">
      <c r="B740" s="60" t="s">
        <v>92</v>
      </c>
      <c r="C740" s="60">
        <v>119</v>
      </c>
      <c r="D740" s="62">
        <f t="shared" si="12"/>
        <v>113.05</v>
      </c>
    </row>
    <row r="741" spans="2:4" x14ac:dyDescent="0.3">
      <c r="B741" s="60" t="s">
        <v>93</v>
      </c>
      <c r="C741" s="60">
        <v>199</v>
      </c>
      <c r="D741" s="62">
        <f t="shared" si="12"/>
        <v>189.05</v>
      </c>
    </row>
    <row r="742" spans="2:4" x14ac:dyDescent="0.3">
      <c r="B742" s="60" t="s">
        <v>94</v>
      </c>
      <c r="C742" s="60">
        <v>199</v>
      </c>
      <c r="D742" s="62">
        <f t="shared" si="12"/>
        <v>189.05</v>
      </c>
    </row>
    <row r="743" spans="2:4" x14ac:dyDescent="0.3">
      <c r="B743" s="60" t="s">
        <v>95</v>
      </c>
      <c r="C743" s="60">
        <v>139</v>
      </c>
      <c r="D743" s="62">
        <f t="shared" si="12"/>
        <v>132.05000000000001</v>
      </c>
    </row>
    <row r="744" spans="2:4" x14ac:dyDescent="0.3">
      <c r="B744" s="60" t="s">
        <v>96</v>
      </c>
      <c r="C744" s="60">
        <v>299</v>
      </c>
      <c r="D744" s="62">
        <f t="shared" si="12"/>
        <v>284.05</v>
      </c>
    </row>
    <row r="745" spans="2:4" x14ac:dyDescent="0.3">
      <c r="B745" s="60" t="s">
        <v>97</v>
      </c>
      <c r="C745" s="60">
        <v>399</v>
      </c>
      <c r="D745" s="62">
        <f t="shared" si="12"/>
        <v>379.05</v>
      </c>
    </row>
    <row r="746" spans="2:4" x14ac:dyDescent="0.3">
      <c r="B746" s="60" t="s">
        <v>98</v>
      </c>
      <c r="C746" s="60">
        <v>249</v>
      </c>
      <c r="D746" s="62">
        <f t="shared" si="12"/>
        <v>236.55</v>
      </c>
    </row>
    <row r="747" spans="2:4" x14ac:dyDescent="0.3">
      <c r="B747" s="60" t="s">
        <v>99</v>
      </c>
      <c r="C747" s="60">
        <v>99</v>
      </c>
      <c r="D747" s="62">
        <f t="shared" si="12"/>
        <v>94.05</v>
      </c>
    </row>
    <row r="748" spans="2:4" x14ac:dyDescent="0.3">
      <c r="B748" s="60" t="s">
        <v>100</v>
      </c>
      <c r="C748" s="60">
        <v>299</v>
      </c>
      <c r="D748" s="62">
        <f t="shared" si="12"/>
        <v>284.05</v>
      </c>
    </row>
    <row r="749" spans="2:4" x14ac:dyDescent="0.3">
      <c r="B749" s="60" t="s">
        <v>101</v>
      </c>
      <c r="C749" s="60">
        <v>279</v>
      </c>
      <c r="D749" s="62">
        <f t="shared" si="12"/>
        <v>265.05</v>
      </c>
    </row>
    <row r="750" spans="2:4" x14ac:dyDescent="0.3">
      <c r="B750" s="60" t="s">
        <v>102</v>
      </c>
      <c r="C750" s="60">
        <v>419</v>
      </c>
      <c r="D750" s="62">
        <f t="shared" ref="D750:D813" si="13">C750-(C750*(5/100))</f>
        <v>398.05</v>
      </c>
    </row>
    <row r="751" spans="2:4" x14ac:dyDescent="0.3">
      <c r="B751" s="60" t="s">
        <v>103</v>
      </c>
      <c r="C751" s="60">
        <v>229</v>
      </c>
      <c r="D751" s="62">
        <f t="shared" si="13"/>
        <v>217.55</v>
      </c>
    </row>
    <row r="752" spans="2:4" x14ac:dyDescent="0.3">
      <c r="B752" s="60" t="s">
        <v>104</v>
      </c>
      <c r="C752" s="60">
        <v>199</v>
      </c>
      <c r="D752" s="62">
        <f t="shared" si="13"/>
        <v>189.05</v>
      </c>
    </row>
    <row r="753" spans="2:4" x14ac:dyDescent="0.3">
      <c r="B753" s="60" t="s">
        <v>105</v>
      </c>
      <c r="C753" s="60">
        <v>159</v>
      </c>
      <c r="D753" s="62">
        <f t="shared" si="13"/>
        <v>151.05000000000001</v>
      </c>
    </row>
    <row r="754" spans="2:4" x14ac:dyDescent="0.3">
      <c r="B754" s="60" t="s">
        <v>106</v>
      </c>
      <c r="C754" s="60">
        <v>129</v>
      </c>
      <c r="D754" s="62">
        <f t="shared" si="13"/>
        <v>122.55</v>
      </c>
    </row>
    <row r="755" spans="2:4" x14ac:dyDescent="0.3">
      <c r="B755" s="60" t="s">
        <v>107</v>
      </c>
      <c r="C755" s="60">
        <v>199</v>
      </c>
      <c r="D755" s="62">
        <f t="shared" si="13"/>
        <v>189.05</v>
      </c>
    </row>
    <row r="756" spans="2:4" x14ac:dyDescent="0.3">
      <c r="B756" s="60" t="s">
        <v>108</v>
      </c>
      <c r="C756" s="60">
        <v>249</v>
      </c>
      <c r="D756" s="62">
        <f t="shared" si="13"/>
        <v>236.55</v>
      </c>
    </row>
    <row r="757" spans="2:4" x14ac:dyDescent="0.3">
      <c r="B757" s="60" t="s">
        <v>109</v>
      </c>
      <c r="C757" s="60">
        <v>299</v>
      </c>
      <c r="D757" s="62">
        <f t="shared" si="13"/>
        <v>284.05</v>
      </c>
    </row>
    <row r="758" spans="2:4" x14ac:dyDescent="0.3">
      <c r="B758" s="60" t="s">
        <v>110</v>
      </c>
      <c r="C758" s="60">
        <v>149</v>
      </c>
      <c r="D758" s="62">
        <f t="shared" si="13"/>
        <v>141.55000000000001</v>
      </c>
    </row>
    <row r="759" spans="2:4" x14ac:dyDescent="0.3">
      <c r="B759" s="60" t="s">
        <v>111</v>
      </c>
      <c r="C759" s="60">
        <v>179</v>
      </c>
      <c r="D759" s="62">
        <f t="shared" si="13"/>
        <v>170.05</v>
      </c>
    </row>
    <row r="760" spans="2:4" x14ac:dyDescent="0.3">
      <c r="B760" s="60" t="s">
        <v>112</v>
      </c>
      <c r="C760" s="60">
        <v>329</v>
      </c>
      <c r="D760" s="62">
        <f t="shared" si="13"/>
        <v>312.55</v>
      </c>
    </row>
    <row r="761" spans="2:4" x14ac:dyDescent="0.3">
      <c r="B761" s="60" t="s">
        <v>113</v>
      </c>
      <c r="C761" s="60">
        <v>209</v>
      </c>
      <c r="D761" s="62">
        <f t="shared" si="13"/>
        <v>198.55</v>
      </c>
    </row>
    <row r="762" spans="2:4" x14ac:dyDescent="0.3">
      <c r="B762" s="60" t="s">
        <v>114</v>
      </c>
      <c r="C762" s="60">
        <v>299</v>
      </c>
      <c r="D762" s="62">
        <f t="shared" si="13"/>
        <v>284.05</v>
      </c>
    </row>
    <row r="763" spans="2:4" x14ac:dyDescent="0.3">
      <c r="B763" s="60" t="s">
        <v>115</v>
      </c>
      <c r="C763" s="60">
        <v>199</v>
      </c>
      <c r="D763" s="62">
        <f t="shared" si="13"/>
        <v>189.05</v>
      </c>
    </row>
    <row r="764" spans="2:4" x14ac:dyDescent="0.3">
      <c r="B764" s="60" t="s">
        <v>116</v>
      </c>
      <c r="C764" s="60">
        <v>199</v>
      </c>
      <c r="D764" s="62">
        <f t="shared" si="13"/>
        <v>189.05</v>
      </c>
    </row>
    <row r="765" spans="2:4" x14ac:dyDescent="0.3">
      <c r="B765" s="60" t="s">
        <v>117</v>
      </c>
      <c r="C765" s="60">
        <v>269</v>
      </c>
      <c r="D765" s="62">
        <f t="shared" si="13"/>
        <v>255.55</v>
      </c>
    </row>
    <row r="766" spans="2:4" x14ac:dyDescent="0.3">
      <c r="B766" s="60" t="s">
        <v>118</v>
      </c>
      <c r="C766" s="60">
        <v>299</v>
      </c>
      <c r="D766" s="62">
        <f t="shared" si="13"/>
        <v>284.05</v>
      </c>
    </row>
    <row r="767" spans="2:4" x14ac:dyDescent="0.3">
      <c r="B767" s="60" t="s">
        <v>119</v>
      </c>
      <c r="C767" s="60">
        <v>159</v>
      </c>
      <c r="D767" s="62">
        <f t="shared" si="13"/>
        <v>151.05000000000001</v>
      </c>
    </row>
    <row r="768" spans="2:4" x14ac:dyDescent="0.3">
      <c r="B768" s="60" t="s">
        <v>120</v>
      </c>
      <c r="C768" s="60">
        <v>149</v>
      </c>
      <c r="D768" s="62">
        <f t="shared" si="13"/>
        <v>141.55000000000001</v>
      </c>
    </row>
    <row r="769" spans="2:4" x14ac:dyDescent="0.3">
      <c r="B769" s="60" t="s">
        <v>121</v>
      </c>
      <c r="C769" s="60">
        <v>249</v>
      </c>
      <c r="D769" s="62">
        <f t="shared" si="13"/>
        <v>236.55</v>
      </c>
    </row>
    <row r="770" spans="2:4" x14ac:dyDescent="0.3">
      <c r="B770" s="60" t="s">
        <v>122</v>
      </c>
      <c r="C770" s="60">
        <v>129</v>
      </c>
      <c r="D770" s="62">
        <f t="shared" si="13"/>
        <v>122.55</v>
      </c>
    </row>
    <row r="771" spans="2:4" x14ac:dyDescent="0.3">
      <c r="B771" s="60" t="s">
        <v>123</v>
      </c>
      <c r="C771" s="60">
        <v>249</v>
      </c>
      <c r="D771" s="62">
        <f t="shared" si="13"/>
        <v>236.55</v>
      </c>
    </row>
    <row r="772" spans="2:4" x14ac:dyDescent="0.3">
      <c r="B772" s="60" t="s">
        <v>124</v>
      </c>
      <c r="C772" s="60">
        <v>129</v>
      </c>
      <c r="D772" s="62">
        <f t="shared" si="13"/>
        <v>122.55</v>
      </c>
    </row>
    <row r="773" spans="2:4" x14ac:dyDescent="0.3">
      <c r="B773" s="60" t="s">
        <v>125</v>
      </c>
      <c r="C773" s="60">
        <v>199</v>
      </c>
      <c r="D773" s="62">
        <f t="shared" si="13"/>
        <v>189.05</v>
      </c>
    </row>
    <row r="774" spans="2:4" x14ac:dyDescent="0.3">
      <c r="B774" s="60" t="s">
        <v>126</v>
      </c>
      <c r="C774" s="60">
        <v>399</v>
      </c>
      <c r="D774" s="62">
        <f t="shared" si="13"/>
        <v>379.05</v>
      </c>
    </row>
    <row r="775" spans="2:4" x14ac:dyDescent="0.3">
      <c r="B775" s="60" t="s">
        <v>127</v>
      </c>
      <c r="C775" s="60">
        <v>149</v>
      </c>
      <c r="D775" s="62">
        <f t="shared" si="13"/>
        <v>141.55000000000001</v>
      </c>
    </row>
    <row r="776" spans="2:4" x14ac:dyDescent="0.3">
      <c r="B776" s="60" t="s">
        <v>128</v>
      </c>
      <c r="C776" s="60">
        <v>129</v>
      </c>
      <c r="D776" s="62">
        <f t="shared" si="13"/>
        <v>122.55</v>
      </c>
    </row>
    <row r="777" spans="2:4" x14ac:dyDescent="0.3">
      <c r="B777" s="60" t="s">
        <v>129</v>
      </c>
      <c r="C777" s="60">
        <v>149</v>
      </c>
      <c r="D777" s="62">
        <f t="shared" si="13"/>
        <v>141.55000000000001</v>
      </c>
    </row>
    <row r="778" spans="2:4" x14ac:dyDescent="0.3">
      <c r="B778" s="60" t="s">
        <v>130</v>
      </c>
      <c r="C778" s="60">
        <v>109</v>
      </c>
      <c r="D778" s="62">
        <f t="shared" si="13"/>
        <v>103.55</v>
      </c>
    </row>
    <row r="779" spans="2:4" x14ac:dyDescent="0.3">
      <c r="B779" s="60" t="s">
        <v>131</v>
      </c>
      <c r="C779" s="60">
        <v>169</v>
      </c>
      <c r="D779" s="62">
        <f t="shared" si="13"/>
        <v>160.55000000000001</v>
      </c>
    </row>
    <row r="780" spans="2:4" x14ac:dyDescent="0.3">
      <c r="B780" s="60" t="s">
        <v>132</v>
      </c>
      <c r="C780" s="60">
        <v>249</v>
      </c>
      <c r="D780" s="62">
        <f t="shared" si="13"/>
        <v>236.55</v>
      </c>
    </row>
    <row r="781" spans="2:4" x14ac:dyDescent="0.3">
      <c r="B781" s="60" t="s">
        <v>133</v>
      </c>
      <c r="C781" s="60">
        <v>209</v>
      </c>
      <c r="D781" s="62">
        <f t="shared" si="13"/>
        <v>198.55</v>
      </c>
    </row>
    <row r="782" spans="2:4" x14ac:dyDescent="0.3">
      <c r="B782" s="60" t="s">
        <v>134</v>
      </c>
      <c r="C782" s="60">
        <v>249</v>
      </c>
      <c r="D782" s="62">
        <f t="shared" si="13"/>
        <v>236.55</v>
      </c>
    </row>
    <row r="783" spans="2:4" x14ac:dyDescent="0.3">
      <c r="B783" s="60" t="s">
        <v>135</v>
      </c>
      <c r="C783" s="60">
        <v>129</v>
      </c>
      <c r="D783" s="62">
        <f t="shared" si="13"/>
        <v>122.55</v>
      </c>
    </row>
    <row r="784" spans="2:4" x14ac:dyDescent="0.3">
      <c r="B784" s="60" t="s">
        <v>136</v>
      </c>
      <c r="C784" s="60">
        <v>149</v>
      </c>
      <c r="D784" s="62">
        <f t="shared" si="13"/>
        <v>141.55000000000001</v>
      </c>
    </row>
    <row r="785" spans="2:4" x14ac:dyDescent="0.3">
      <c r="B785" s="60" t="s">
        <v>137</v>
      </c>
      <c r="C785" s="60">
        <v>149</v>
      </c>
      <c r="D785" s="62">
        <f t="shared" si="13"/>
        <v>141.55000000000001</v>
      </c>
    </row>
    <row r="786" spans="2:4" x14ac:dyDescent="0.3">
      <c r="B786" s="60" t="s">
        <v>138</v>
      </c>
      <c r="C786" s="60">
        <v>109</v>
      </c>
      <c r="D786" s="62">
        <f t="shared" si="13"/>
        <v>103.55</v>
      </c>
    </row>
    <row r="787" spans="2:4" x14ac:dyDescent="0.3">
      <c r="B787" s="60" t="s">
        <v>139</v>
      </c>
      <c r="C787" s="60">
        <v>229</v>
      </c>
      <c r="D787" s="62">
        <f t="shared" si="13"/>
        <v>217.55</v>
      </c>
    </row>
    <row r="788" spans="2:4" x14ac:dyDescent="0.3">
      <c r="B788" s="60" t="s">
        <v>155</v>
      </c>
      <c r="C788" s="60">
        <v>139</v>
      </c>
      <c r="D788" s="62">
        <f t="shared" si="13"/>
        <v>132.05000000000001</v>
      </c>
    </row>
    <row r="789" spans="2:4" x14ac:dyDescent="0.3">
      <c r="B789" s="60" t="s">
        <v>156</v>
      </c>
      <c r="C789" s="60">
        <v>149</v>
      </c>
      <c r="D789" s="62">
        <f t="shared" si="13"/>
        <v>141.55000000000001</v>
      </c>
    </row>
    <row r="790" spans="2:4" x14ac:dyDescent="0.3">
      <c r="B790" s="60" t="s">
        <v>364</v>
      </c>
      <c r="C790" s="60">
        <v>159</v>
      </c>
      <c r="D790" s="62">
        <f t="shared" si="13"/>
        <v>151.05000000000001</v>
      </c>
    </row>
    <row r="791" spans="2:4" x14ac:dyDescent="0.3">
      <c r="B791" s="60" t="s">
        <v>365</v>
      </c>
      <c r="C791" s="60">
        <v>299</v>
      </c>
      <c r="D791" s="62">
        <f t="shared" si="13"/>
        <v>284.05</v>
      </c>
    </row>
    <row r="792" spans="2:4" x14ac:dyDescent="0.3">
      <c r="B792" s="60" t="s">
        <v>366</v>
      </c>
      <c r="C792" s="60">
        <v>349</v>
      </c>
      <c r="D792" s="62">
        <f t="shared" si="13"/>
        <v>331.55</v>
      </c>
    </row>
    <row r="793" spans="2:4" x14ac:dyDescent="0.3">
      <c r="B793" s="60" t="s">
        <v>367</v>
      </c>
      <c r="C793" s="60">
        <v>249</v>
      </c>
      <c r="D793" s="62">
        <f t="shared" si="13"/>
        <v>236.55</v>
      </c>
    </row>
    <row r="794" spans="2:4" x14ac:dyDescent="0.3">
      <c r="B794" s="60" t="s">
        <v>368</v>
      </c>
      <c r="C794" s="60">
        <v>249</v>
      </c>
      <c r="D794" s="62">
        <f t="shared" si="13"/>
        <v>236.55</v>
      </c>
    </row>
    <row r="795" spans="2:4" x14ac:dyDescent="0.3">
      <c r="B795" s="60" t="s">
        <v>369</v>
      </c>
      <c r="C795" s="60">
        <v>249</v>
      </c>
      <c r="D795" s="62">
        <f t="shared" si="13"/>
        <v>236.55</v>
      </c>
    </row>
    <row r="796" spans="2:4" x14ac:dyDescent="0.3">
      <c r="B796" s="60" t="s">
        <v>535</v>
      </c>
      <c r="C796" s="60">
        <v>149</v>
      </c>
      <c r="D796" s="62">
        <f t="shared" si="13"/>
        <v>141.55000000000001</v>
      </c>
    </row>
    <row r="797" spans="2:4" x14ac:dyDescent="0.3">
      <c r="B797" s="60" t="s">
        <v>370</v>
      </c>
      <c r="C797" s="60">
        <v>169</v>
      </c>
      <c r="D797" s="62">
        <f t="shared" si="13"/>
        <v>160.55000000000001</v>
      </c>
    </row>
    <row r="798" spans="2:4" x14ac:dyDescent="0.3">
      <c r="B798" s="60" t="s">
        <v>371</v>
      </c>
      <c r="C798" s="60">
        <v>229</v>
      </c>
      <c r="D798" s="62">
        <f t="shared" si="13"/>
        <v>217.55</v>
      </c>
    </row>
    <row r="799" spans="2:4" x14ac:dyDescent="0.3">
      <c r="B799" s="60" t="s">
        <v>372</v>
      </c>
      <c r="C799" s="60">
        <v>299</v>
      </c>
      <c r="D799" s="62">
        <f t="shared" si="13"/>
        <v>284.05</v>
      </c>
    </row>
    <row r="800" spans="2:4" x14ac:dyDescent="0.3">
      <c r="B800" s="60" t="s">
        <v>373</v>
      </c>
      <c r="C800" s="60">
        <v>149</v>
      </c>
      <c r="D800" s="62">
        <f t="shared" si="13"/>
        <v>141.55000000000001</v>
      </c>
    </row>
    <row r="801" spans="2:4" x14ac:dyDescent="0.3">
      <c r="B801" s="60" t="s">
        <v>374</v>
      </c>
      <c r="C801" s="60">
        <v>99</v>
      </c>
      <c r="D801" s="62">
        <f t="shared" si="13"/>
        <v>94.05</v>
      </c>
    </row>
    <row r="802" spans="2:4" x14ac:dyDescent="0.3">
      <c r="B802" s="60" t="s">
        <v>375</v>
      </c>
      <c r="C802" s="60">
        <v>299</v>
      </c>
      <c r="D802" s="62">
        <f t="shared" si="13"/>
        <v>284.05</v>
      </c>
    </row>
    <row r="803" spans="2:4" x14ac:dyDescent="0.3">
      <c r="B803" s="60" t="s">
        <v>376</v>
      </c>
      <c r="C803" s="60">
        <v>299</v>
      </c>
      <c r="D803" s="62">
        <f t="shared" si="13"/>
        <v>284.05</v>
      </c>
    </row>
    <row r="804" spans="2:4" x14ac:dyDescent="0.3">
      <c r="B804" s="60" t="s">
        <v>377</v>
      </c>
      <c r="C804" s="60">
        <v>249</v>
      </c>
      <c r="D804" s="62">
        <f t="shared" si="13"/>
        <v>236.55</v>
      </c>
    </row>
    <row r="805" spans="2:4" x14ac:dyDescent="0.3">
      <c r="B805" s="60" t="s">
        <v>378</v>
      </c>
      <c r="C805" s="60">
        <v>159</v>
      </c>
      <c r="D805" s="62">
        <f t="shared" si="13"/>
        <v>151.05000000000001</v>
      </c>
    </row>
    <row r="806" spans="2:4" x14ac:dyDescent="0.3">
      <c r="B806" s="60" t="s">
        <v>379</v>
      </c>
      <c r="C806" s="60">
        <v>299</v>
      </c>
      <c r="D806" s="62">
        <f t="shared" si="13"/>
        <v>284.05</v>
      </c>
    </row>
    <row r="807" spans="2:4" x14ac:dyDescent="0.3">
      <c r="B807" s="60" t="s">
        <v>380</v>
      </c>
      <c r="C807" s="60">
        <v>299</v>
      </c>
      <c r="D807" s="62">
        <f t="shared" si="13"/>
        <v>284.05</v>
      </c>
    </row>
    <row r="808" spans="2:4" x14ac:dyDescent="0.3">
      <c r="B808" s="60" t="s">
        <v>381</v>
      </c>
      <c r="C808" s="60">
        <v>229</v>
      </c>
      <c r="D808" s="62">
        <f t="shared" si="13"/>
        <v>217.55</v>
      </c>
    </row>
    <row r="809" spans="2:4" x14ac:dyDescent="0.3">
      <c r="B809" s="60" t="s">
        <v>382</v>
      </c>
      <c r="C809" s="60">
        <v>249</v>
      </c>
      <c r="D809" s="62">
        <f t="shared" si="13"/>
        <v>236.55</v>
      </c>
    </row>
    <row r="810" spans="2:4" x14ac:dyDescent="0.3">
      <c r="B810" s="60" t="s">
        <v>383</v>
      </c>
      <c r="C810" s="60">
        <v>249</v>
      </c>
      <c r="D810" s="62">
        <f t="shared" si="13"/>
        <v>236.55</v>
      </c>
    </row>
    <row r="811" spans="2:4" x14ac:dyDescent="0.3">
      <c r="B811" s="60" t="s">
        <v>384</v>
      </c>
      <c r="C811" s="60">
        <v>249</v>
      </c>
      <c r="D811" s="62">
        <f t="shared" si="13"/>
        <v>236.55</v>
      </c>
    </row>
    <row r="812" spans="2:4" x14ac:dyDescent="0.3">
      <c r="B812" s="60" t="s">
        <v>385</v>
      </c>
      <c r="C812" s="60">
        <v>249</v>
      </c>
      <c r="D812" s="62">
        <f t="shared" si="13"/>
        <v>236.55</v>
      </c>
    </row>
    <row r="813" spans="2:4" x14ac:dyDescent="0.3">
      <c r="B813" s="60" t="s">
        <v>386</v>
      </c>
      <c r="C813" s="60">
        <v>99</v>
      </c>
      <c r="D813" s="62">
        <f t="shared" si="13"/>
        <v>94.05</v>
      </c>
    </row>
    <row r="814" spans="2:4" x14ac:dyDescent="0.3">
      <c r="B814" s="60" t="s">
        <v>536</v>
      </c>
      <c r="C814" s="60">
        <v>199</v>
      </c>
      <c r="D814" s="62">
        <f t="shared" ref="D814:D877" si="14">C814-(C814*(5/100))</f>
        <v>189.05</v>
      </c>
    </row>
    <row r="815" spans="2:4" x14ac:dyDescent="0.3">
      <c r="B815" s="60" t="s">
        <v>387</v>
      </c>
      <c r="C815" s="60">
        <v>199</v>
      </c>
      <c r="D815" s="62">
        <f t="shared" si="14"/>
        <v>189.05</v>
      </c>
    </row>
    <row r="816" spans="2:4" x14ac:dyDescent="0.3">
      <c r="B816" s="60" t="s">
        <v>388</v>
      </c>
      <c r="C816" s="60">
        <v>249</v>
      </c>
      <c r="D816" s="62">
        <f t="shared" si="14"/>
        <v>236.55</v>
      </c>
    </row>
    <row r="817" spans="2:4" x14ac:dyDescent="0.3">
      <c r="B817" s="60" t="s">
        <v>389</v>
      </c>
      <c r="C817" s="60">
        <v>159</v>
      </c>
      <c r="D817" s="62">
        <f t="shared" si="14"/>
        <v>151.05000000000001</v>
      </c>
    </row>
    <row r="818" spans="2:4" x14ac:dyDescent="0.3">
      <c r="B818" s="60" t="s">
        <v>390</v>
      </c>
      <c r="C818" s="60">
        <v>369</v>
      </c>
      <c r="D818" s="62">
        <f t="shared" si="14"/>
        <v>350.55</v>
      </c>
    </row>
    <row r="819" spans="2:4" x14ac:dyDescent="0.3">
      <c r="B819" s="60" t="s">
        <v>391</v>
      </c>
      <c r="C819" s="60">
        <v>199</v>
      </c>
      <c r="D819" s="62">
        <f t="shared" si="14"/>
        <v>189.05</v>
      </c>
    </row>
    <row r="820" spans="2:4" x14ac:dyDescent="0.3">
      <c r="B820" s="60" t="s">
        <v>392</v>
      </c>
      <c r="C820" s="60">
        <v>249</v>
      </c>
      <c r="D820" s="62">
        <f t="shared" si="14"/>
        <v>236.55</v>
      </c>
    </row>
    <row r="821" spans="2:4" x14ac:dyDescent="0.3">
      <c r="B821" s="60" t="s">
        <v>393</v>
      </c>
      <c r="C821" s="60">
        <v>129</v>
      </c>
      <c r="D821" s="62">
        <f t="shared" si="14"/>
        <v>122.55</v>
      </c>
    </row>
    <row r="822" spans="2:4" x14ac:dyDescent="0.3">
      <c r="B822" s="60" t="s">
        <v>394</v>
      </c>
      <c r="C822" s="60">
        <v>129</v>
      </c>
      <c r="D822" s="62">
        <f t="shared" si="14"/>
        <v>122.55</v>
      </c>
    </row>
    <row r="823" spans="2:4" x14ac:dyDescent="0.3">
      <c r="B823" s="60" t="s">
        <v>395</v>
      </c>
      <c r="C823" s="60">
        <v>249</v>
      </c>
      <c r="D823" s="62">
        <f t="shared" si="14"/>
        <v>236.55</v>
      </c>
    </row>
    <row r="824" spans="2:4" x14ac:dyDescent="0.3">
      <c r="B824" s="60" t="s">
        <v>396</v>
      </c>
      <c r="C824" s="60">
        <v>349</v>
      </c>
      <c r="D824" s="62">
        <f t="shared" si="14"/>
        <v>331.55</v>
      </c>
    </row>
    <row r="825" spans="2:4" x14ac:dyDescent="0.3">
      <c r="B825" s="60" t="s">
        <v>397</v>
      </c>
      <c r="C825" s="60">
        <v>249</v>
      </c>
      <c r="D825" s="62">
        <f t="shared" si="14"/>
        <v>236.55</v>
      </c>
    </row>
    <row r="826" spans="2:4" x14ac:dyDescent="0.3">
      <c r="B826" s="60" t="s">
        <v>398</v>
      </c>
      <c r="C826" s="60">
        <v>399</v>
      </c>
      <c r="D826" s="62">
        <f t="shared" si="14"/>
        <v>379.05</v>
      </c>
    </row>
    <row r="827" spans="2:4" x14ac:dyDescent="0.3">
      <c r="B827" s="60" t="s">
        <v>399</v>
      </c>
      <c r="C827" s="60">
        <v>249</v>
      </c>
      <c r="D827" s="62">
        <f t="shared" si="14"/>
        <v>236.55</v>
      </c>
    </row>
    <row r="828" spans="2:4" x14ac:dyDescent="0.3">
      <c r="B828" s="60" t="s">
        <v>400</v>
      </c>
      <c r="C828" s="60">
        <v>229</v>
      </c>
      <c r="D828" s="62">
        <f t="shared" si="14"/>
        <v>217.55</v>
      </c>
    </row>
    <row r="829" spans="2:4" x14ac:dyDescent="0.3">
      <c r="B829" s="60" t="s">
        <v>401</v>
      </c>
      <c r="C829" s="60">
        <v>149</v>
      </c>
      <c r="D829" s="62">
        <f t="shared" si="14"/>
        <v>141.55000000000001</v>
      </c>
    </row>
    <row r="830" spans="2:4" x14ac:dyDescent="0.3">
      <c r="B830" s="60" t="s">
        <v>402</v>
      </c>
      <c r="C830" s="60">
        <v>99</v>
      </c>
      <c r="D830" s="62">
        <f t="shared" si="14"/>
        <v>94.05</v>
      </c>
    </row>
    <row r="831" spans="2:4" x14ac:dyDescent="0.3">
      <c r="B831" s="60" t="s">
        <v>403</v>
      </c>
      <c r="C831" s="60">
        <v>299</v>
      </c>
      <c r="D831" s="62">
        <f t="shared" si="14"/>
        <v>284.05</v>
      </c>
    </row>
    <row r="832" spans="2:4" x14ac:dyDescent="0.3">
      <c r="B832" s="60" t="s">
        <v>404</v>
      </c>
      <c r="C832" s="60">
        <v>149</v>
      </c>
      <c r="D832" s="62">
        <f t="shared" si="14"/>
        <v>141.55000000000001</v>
      </c>
    </row>
    <row r="833" spans="2:4" x14ac:dyDescent="0.3">
      <c r="B833" s="60" t="s">
        <v>405</v>
      </c>
      <c r="C833" s="60">
        <v>349</v>
      </c>
      <c r="D833" s="62">
        <f t="shared" si="14"/>
        <v>331.55</v>
      </c>
    </row>
    <row r="834" spans="2:4" x14ac:dyDescent="0.3">
      <c r="B834" s="60" t="s">
        <v>406</v>
      </c>
      <c r="C834" s="60">
        <v>199</v>
      </c>
      <c r="D834" s="62">
        <f t="shared" si="14"/>
        <v>189.05</v>
      </c>
    </row>
    <row r="835" spans="2:4" x14ac:dyDescent="0.3">
      <c r="B835" s="60" t="s">
        <v>407</v>
      </c>
      <c r="C835" s="60">
        <v>299</v>
      </c>
      <c r="D835" s="62">
        <f t="shared" si="14"/>
        <v>284.05</v>
      </c>
    </row>
    <row r="836" spans="2:4" x14ac:dyDescent="0.3">
      <c r="B836" s="60" t="s">
        <v>408</v>
      </c>
      <c r="C836" s="60">
        <v>149</v>
      </c>
      <c r="D836" s="62">
        <f t="shared" si="14"/>
        <v>141.55000000000001</v>
      </c>
    </row>
    <row r="837" spans="2:4" x14ac:dyDescent="0.3">
      <c r="B837" s="60" t="s">
        <v>409</v>
      </c>
      <c r="C837" s="60">
        <v>199</v>
      </c>
      <c r="D837" s="62">
        <f t="shared" si="14"/>
        <v>189.05</v>
      </c>
    </row>
    <row r="838" spans="2:4" x14ac:dyDescent="0.3">
      <c r="B838" s="60" t="s">
        <v>410</v>
      </c>
      <c r="C838" s="60">
        <v>99</v>
      </c>
      <c r="D838" s="62">
        <f t="shared" si="14"/>
        <v>94.05</v>
      </c>
    </row>
    <row r="839" spans="2:4" x14ac:dyDescent="0.3">
      <c r="B839" s="60" t="s">
        <v>411</v>
      </c>
      <c r="C839" s="60">
        <v>99</v>
      </c>
      <c r="D839" s="62">
        <f t="shared" si="14"/>
        <v>94.05</v>
      </c>
    </row>
    <row r="840" spans="2:4" x14ac:dyDescent="0.3">
      <c r="B840" s="60" t="s">
        <v>412</v>
      </c>
      <c r="C840" s="60">
        <v>169</v>
      </c>
      <c r="D840" s="62">
        <f t="shared" si="14"/>
        <v>160.55000000000001</v>
      </c>
    </row>
    <row r="841" spans="2:4" x14ac:dyDescent="0.3">
      <c r="B841" s="60" t="s">
        <v>413</v>
      </c>
      <c r="C841" s="60">
        <v>199</v>
      </c>
      <c r="D841" s="62">
        <f t="shared" si="14"/>
        <v>189.05</v>
      </c>
    </row>
    <row r="842" spans="2:4" x14ac:dyDescent="0.3">
      <c r="B842" s="60" t="s">
        <v>414</v>
      </c>
      <c r="C842" s="60"/>
      <c r="D842" s="62">
        <f t="shared" si="14"/>
        <v>0</v>
      </c>
    </row>
    <row r="843" spans="2:4" x14ac:dyDescent="0.3">
      <c r="B843" s="60" t="s">
        <v>415</v>
      </c>
      <c r="C843" s="60">
        <v>229</v>
      </c>
      <c r="D843" s="62">
        <f t="shared" si="14"/>
        <v>217.55</v>
      </c>
    </row>
    <row r="844" spans="2:4" x14ac:dyDescent="0.3">
      <c r="B844" s="60" t="s">
        <v>416</v>
      </c>
      <c r="C844" s="60">
        <v>299</v>
      </c>
      <c r="D844" s="62">
        <f t="shared" si="14"/>
        <v>284.05</v>
      </c>
    </row>
    <row r="845" spans="2:4" x14ac:dyDescent="0.3">
      <c r="B845" s="60" t="s">
        <v>417</v>
      </c>
      <c r="C845" s="60">
        <v>299</v>
      </c>
      <c r="D845" s="62">
        <f t="shared" si="14"/>
        <v>284.05</v>
      </c>
    </row>
    <row r="846" spans="2:4" x14ac:dyDescent="0.3">
      <c r="B846" s="60" t="s">
        <v>418</v>
      </c>
      <c r="C846" s="60">
        <v>149</v>
      </c>
      <c r="D846" s="62">
        <f t="shared" si="14"/>
        <v>141.55000000000001</v>
      </c>
    </row>
    <row r="847" spans="2:4" x14ac:dyDescent="0.3">
      <c r="B847" s="60" t="s">
        <v>419</v>
      </c>
      <c r="C847" s="60">
        <v>249</v>
      </c>
      <c r="D847" s="62">
        <f t="shared" si="14"/>
        <v>236.55</v>
      </c>
    </row>
    <row r="848" spans="2:4" x14ac:dyDescent="0.3">
      <c r="B848" s="60" t="s">
        <v>420</v>
      </c>
      <c r="C848" s="60">
        <v>249</v>
      </c>
      <c r="D848" s="62">
        <f t="shared" si="14"/>
        <v>236.55</v>
      </c>
    </row>
    <row r="849" spans="2:4" x14ac:dyDescent="0.3">
      <c r="B849" s="60" t="s">
        <v>421</v>
      </c>
      <c r="C849" s="60">
        <v>299</v>
      </c>
      <c r="D849" s="62">
        <f t="shared" si="14"/>
        <v>284.05</v>
      </c>
    </row>
    <row r="850" spans="2:4" x14ac:dyDescent="0.3">
      <c r="B850" s="60" t="s">
        <v>422</v>
      </c>
      <c r="C850" s="60">
        <v>149</v>
      </c>
      <c r="D850" s="62">
        <f t="shared" si="14"/>
        <v>141.55000000000001</v>
      </c>
    </row>
    <row r="851" spans="2:4" x14ac:dyDescent="0.3">
      <c r="B851" s="60" t="s">
        <v>423</v>
      </c>
      <c r="C851" s="60">
        <v>199</v>
      </c>
      <c r="D851" s="62">
        <f t="shared" si="14"/>
        <v>189.05</v>
      </c>
    </row>
    <row r="852" spans="2:4" x14ac:dyDescent="0.3">
      <c r="B852" s="60" t="s">
        <v>424</v>
      </c>
      <c r="C852" s="60">
        <v>199</v>
      </c>
      <c r="D852" s="62">
        <f t="shared" si="14"/>
        <v>189.05</v>
      </c>
    </row>
    <row r="853" spans="2:4" x14ac:dyDescent="0.3">
      <c r="B853" s="60" t="s">
        <v>425</v>
      </c>
      <c r="C853" s="60">
        <v>149</v>
      </c>
      <c r="D853" s="62">
        <f t="shared" si="14"/>
        <v>141.55000000000001</v>
      </c>
    </row>
    <row r="854" spans="2:4" x14ac:dyDescent="0.3">
      <c r="B854" s="60" t="s">
        <v>426</v>
      </c>
      <c r="C854" s="60">
        <v>199</v>
      </c>
      <c r="D854" s="62">
        <f t="shared" si="14"/>
        <v>189.05</v>
      </c>
    </row>
    <row r="855" spans="2:4" x14ac:dyDescent="0.3">
      <c r="B855" s="60" t="s">
        <v>427</v>
      </c>
      <c r="C855" s="60">
        <v>249</v>
      </c>
      <c r="D855" s="62">
        <f t="shared" si="14"/>
        <v>236.55</v>
      </c>
    </row>
    <row r="856" spans="2:4" x14ac:dyDescent="0.3">
      <c r="B856" s="60" t="s">
        <v>428</v>
      </c>
      <c r="C856" s="60">
        <v>129</v>
      </c>
      <c r="D856" s="62">
        <f t="shared" si="14"/>
        <v>122.55</v>
      </c>
    </row>
    <row r="857" spans="2:4" x14ac:dyDescent="0.3">
      <c r="B857" s="60" t="s">
        <v>429</v>
      </c>
      <c r="C857" s="60">
        <v>249</v>
      </c>
      <c r="D857" s="62">
        <f t="shared" si="14"/>
        <v>236.55</v>
      </c>
    </row>
    <row r="858" spans="2:4" x14ac:dyDescent="0.3">
      <c r="B858" s="60" t="s">
        <v>430</v>
      </c>
      <c r="C858" s="60">
        <v>399</v>
      </c>
      <c r="D858" s="62">
        <f t="shared" si="14"/>
        <v>379.05</v>
      </c>
    </row>
    <row r="859" spans="2:4" x14ac:dyDescent="0.3">
      <c r="B859" s="60" t="s">
        <v>431</v>
      </c>
      <c r="C859" s="60">
        <v>399</v>
      </c>
      <c r="D859" s="62">
        <f t="shared" si="14"/>
        <v>379.05</v>
      </c>
    </row>
    <row r="860" spans="2:4" x14ac:dyDescent="0.3">
      <c r="B860" s="60" t="s">
        <v>432</v>
      </c>
      <c r="C860" s="60">
        <v>299</v>
      </c>
      <c r="D860" s="62">
        <f t="shared" si="14"/>
        <v>284.05</v>
      </c>
    </row>
    <row r="861" spans="2:4" x14ac:dyDescent="0.3">
      <c r="B861" s="60" t="s">
        <v>433</v>
      </c>
      <c r="C861" s="60">
        <v>249</v>
      </c>
      <c r="D861" s="62">
        <f t="shared" si="14"/>
        <v>236.55</v>
      </c>
    </row>
    <row r="862" spans="2:4" x14ac:dyDescent="0.3">
      <c r="B862" s="60" t="s">
        <v>434</v>
      </c>
      <c r="C862" s="60">
        <v>249</v>
      </c>
      <c r="D862" s="62">
        <f t="shared" si="14"/>
        <v>236.55</v>
      </c>
    </row>
    <row r="863" spans="2:4" x14ac:dyDescent="0.3">
      <c r="B863" s="60" t="s">
        <v>435</v>
      </c>
      <c r="C863" s="60">
        <v>299</v>
      </c>
      <c r="D863" s="62">
        <f t="shared" si="14"/>
        <v>284.05</v>
      </c>
    </row>
    <row r="864" spans="2:4" x14ac:dyDescent="0.3">
      <c r="B864" s="60" t="s">
        <v>436</v>
      </c>
      <c r="C864" s="60">
        <v>299</v>
      </c>
      <c r="D864" s="62">
        <f t="shared" si="14"/>
        <v>284.05</v>
      </c>
    </row>
    <row r="865" spans="2:4" x14ac:dyDescent="0.3">
      <c r="B865" s="60" t="s">
        <v>437</v>
      </c>
      <c r="C865" s="60">
        <v>149</v>
      </c>
      <c r="D865" s="62">
        <f t="shared" si="14"/>
        <v>141.55000000000001</v>
      </c>
    </row>
    <row r="866" spans="2:4" x14ac:dyDescent="0.3">
      <c r="B866" s="60" t="s">
        <v>438</v>
      </c>
      <c r="C866" s="60">
        <v>399</v>
      </c>
      <c r="D866" s="62">
        <f t="shared" si="14"/>
        <v>379.05</v>
      </c>
    </row>
    <row r="867" spans="2:4" x14ac:dyDescent="0.3">
      <c r="B867" s="60" t="s">
        <v>439</v>
      </c>
      <c r="C867" s="60">
        <v>399</v>
      </c>
      <c r="D867" s="62">
        <f t="shared" si="14"/>
        <v>379.05</v>
      </c>
    </row>
    <row r="868" spans="2:4" x14ac:dyDescent="0.3">
      <c r="B868" s="60" t="s">
        <v>440</v>
      </c>
      <c r="C868" s="60">
        <v>399</v>
      </c>
      <c r="D868" s="62">
        <f t="shared" si="14"/>
        <v>379.05</v>
      </c>
    </row>
    <row r="869" spans="2:4" x14ac:dyDescent="0.3">
      <c r="B869" s="60" t="s">
        <v>441</v>
      </c>
      <c r="C869" s="60">
        <v>499</v>
      </c>
      <c r="D869" s="62">
        <f t="shared" si="14"/>
        <v>474.05</v>
      </c>
    </row>
    <row r="870" spans="2:4" x14ac:dyDescent="0.3">
      <c r="B870" s="60" t="s">
        <v>442</v>
      </c>
      <c r="C870" s="60">
        <v>369</v>
      </c>
      <c r="D870" s="62">
        <f t="shared" si="14"/>
        <v>350.55</v>
      </c>
    </row>
    <row r="871" spans="2:4" x14ac:dyDescent="0.3">
      <c r="B871" s="60" t="s">
        <v>443</v>
      </c>
      <c r="C871" s="60">
        <v>199</v>
      </c>
      <c r="D871" s="62">
        <f t="shared" si="14"/>
        <v>189.05</v>
      </c>
    </row>
    <row r="872" spans="2:4" x14ac:dyDescent="0.3">
      <c r="B872" s="60" t="s">
        <v>444</v>
      </c>
      <c r="C872" s="60">
        <v>329</v>
      </c>
      <c r="D872" s="62">
        <f t="shared" si="14"/>
        <v>312.55</v>
      </c>
    </row>
    <row r="873" spans="2:4" x14ac:dyDescent="0.3">
      <c r="B873" s="60" t="s">
        <v>445</v>
      </c>
      <c r="C873" s="60">
        <v>249</v>
      </c>
      <c r="D873" s="62">
        <f t="shared" si="14"/>
        <v>236.55</v>
      </c>
    </row>
    <row r="874" spans="2:4" x14ac:dyDescent="0.3">
      <c r="B874" s="60" t="s">
        <v>446</v>
      </c>
      <c r="C874" s="60">
        <v>399</v>
      </c>
      <c r="D874" s="62">
        <f t="shared" si="14"/>
        <v>379.05</v>
      </c>
    </row>
    <row r="875" spans="2:4" x14ac:dyDescent="0.3">
      <c r="B875" s="60" t="s">
        <v>447</v>
      </c>
      <c r="C875" s="60">
        <v>249</v>
      </c>
      <c r="D875" s="62">
        <f t="shared" si="14"/>
        <v>236.55</v>
      </c>
    </row>
    <row r="876" spans="2:4" x14ac:dyDescent="0.3">
      <c r="B876" s="60" t="s">
        <v>448</v>
      </c>
      <c r="C876" s="60">
        <v>429</v>
      </c>
      <c r="D876" s="62">
        <f t="shared" si="14"/>
        <v>407.55</v>
      </c>
    </row>
    <row r="877" spans="2:4" x14ac:dyDescent="0.3">
      <c r="B877" s="60" t="s">
        <v>449</v>
      </c>
      <c r="C877" s="60">
        <v>399</v>
      </c>
      <c r="D877" s="62">
        <f t="shared" si="14"/>
        <v>379.05</v>
      </c>
    </row>
    <row r="878" spans="2:4" x14ac:dyDescent="0.3">
      <c r="B878" s="60" t="s">
        <v>450</v>
      </c>
      <c r="C878" s="60">
        <v>249</v>
      </c>
      <c r="D878" s="62">
        <f t="shared" ref="D878:D941" si="15">C878-(C878*(5/100))</f>
        <v>236.55</v>
      </c>
    </row>
    <row r="879" spans="2:4" x14ac:dyDescent="0.3">
      <c r="B879" s="60" t="s">
        <v>451</v>
      </c>
      <c r="C879" s="60">
        <v>249</v>
      </c>
      <c r="D879" s="62">
        <f t="shared" si="15"/>
        <v>236.55</v>
      </c>
    </row>
    <row r="880" spans="2:4" x14ac:dyDescent="0.3">
      <c r="B880" s="60" t="s">
        <v>452</v>
      </c>
      <c r="C880" s="60">
        <v>399</v>
      </c>
      <c r="D880" s="62">
        <f t="shared" si="15"/>
        <v>379.05</v>
      </c>
    </row>
    <row r="881" spans="2:4" x14ac:dyDescent="0.3">
      <c r="B881" s="60" t="s">
        <v>453</v>
      </c>
      <c r="C881" s="60">
        <v>299</v>
      </c>
      <c r="D881" s="62">
        <f t="shared" si="15"/>
        <v>284.05</v>
      </c>
    </row>
    <row r="882" spans="2:4" x14ac:dyDescent="0.3">
      <c r="B882" s="60" t="s">
        <v>454</v>
      </c>
      <c r="C882" s="60">
        <v>399</v>
      </c>
      <c r="D882" s="62">
        <f t="shared" si="15"/>
        <v>379.05</v>
      </c>
    </row>
    <row r="883" spans="2:4" x14ac:dyDescent="0.3">
      <c r="B883" s="60" t="s">
        <v>455</v>
      </c>
      <c r="C883" s="60">
        <v>399</v>
      </c>
      <c r="D883" s="62">
        <f t="shared" si="15"/>
        <v>379.05</v>
      </c>
    </row>
    <row r="884" spans="2:4" x14ac:dyDescent="0.3">
      <c r="B884" s="60" t="s">
        <v>456</v>
      </c>
      <c r="C884" s="60">
        <v>299</v>
      </c>
      <c r="D884" s="62">
        <f t="shared" si="15"/>
        <v>284.05</v>
      </c>
    </row>
    <row r="885" spans="2:4" x14ac:dyDescent="0.3">
      <c r="B885" s="60" t="s">
        <v>457</v>
      </c>
      <c r="C885" s="60">
        <v>299</v>
      </c>
      <c r="D885" s="62">
        <f t="shared" si="15"/>
        <v>284.05</v>
      </c>
    </row>
    <row r="886" spans="2:4" x14ac:dyDescent="0.3">
      <c r="B886" s="60" t="s">
        <v>458</v>
      </c>
      <c r="C886" s="60">
        <v>399</v>
      </c>
      <c r="D886" s="62">
        <f t="shared" si="15"/>
        <v>379.05</v>
      </c>
    </row>
    <row r="887" spans="2:4" x14ac:dyDescent="0.3">
      <c r="B887" s="60" t="s">
        <v>459</v>
      </c>
      <c r="C887" s="60">
        <v>209</v>
      </c>
      <c r="D887" s="62">
        <f t="shared" si="15"/>
        <v>198.55</v>
      </c>
    </row>
    <row r="888" spans="2:4" x14ac:dyDescent="0.3">
      <c r="B888" s="60" t="s">
        <v>460</v>
      </c>
      <c r="C888" s="60">
        <v>299</v>
      </c>
      <c r="D888" s="62">
        <f t="shared" si="15"/>
        <v>284.05</v>
      </c>
    </row>
    <row r="889" spans="2:4" x14ac:dyDescent="0.3">
      <c r="B889" s="60" t="s">
        <v>461</v>
      </c>
      <c r="C889" s="60">
        <v>399</v>
      </c>
      <c r="D889" s="62">
        <f t="shared" si="15"/>
        <v>379.05</v>
      </c>
    </row>
    <row r="890" spans="2:4" x14ac:dyDescent="0.3">
      <c r="B890" s="60" t="s">
        <v>462</v>
      </c>
      <c r="C890" s="60">
        <v>399</v>
      </c>
      <c r="D890" s="62">
        <f t="shared" si="15"/>
        <v>379.05</v>
      </c>
    </row>
    <row r="891" spans="2:4" x14ac:dyDescent="0.3">
      <c r="B891" s="60" t="s">
        <v>463</v>
      </c>
      <c r="C891" s="60">
        <v>299</v>
      </c>
      <c r="D891" s="62">
        <f t="shared" si="15"/>
        <v>284.05</v>
      </c>
    </row>
    <row r="892" spans="2:4" x14ac:dyDescent="0.3">
      <c r="B892" s="60" t="s">
        <v>464</v>
      </c>
      <c r="C892" s="60">
        <v>199</v>
      </c>
      <c r="D892" s="62">
        <f t="shared" si="15"/>
        <v>189.05</v>
      </c>
    </row>
    <row r="893" spans="2:4" x14ac:dyDescent="0.3">
      <c r="B893" s="60" t="s">
        <v>465</v>
      </c>
      <c r="C893" s="60">
        <v>299</v>
      </c>
      <c r="D893" s="62">
        <f t="shared" si="15"/>
        <v>284.05</v>
      </c>
    </row>
    <row r="894" spans="2:4" x14ac:dyDescent="0.3">
      <c r="B894" s="60" t="s">
        <v>466</v>
      </c>
      <c r="C894" s="60">
        <v>159</v>
      </c>
      <c r="D894" s="62">
        <f t="shared" si="15"/>
        <v>151.05000000000001</v>
      </c>
    </row>
    <row r="895" spans="2:4" x14ac:dyDescent="0.3">
      <c r="B895" s="60" t="s">
        <v>467</v>
      </c>
      <c r="C895" s="60">
        <v>99</v>
      </c>
      <c r="D895" s="62">
        <f t="shared" si="15"/>
        <v>94.05</v>
      </c>
    </row>
    <row r="896" spans="2:4" x14ac:dyDescent="0.3">
      <c r="B896" s="60" t="s">
        <v>468</v>
      </c>
      <c r="C896" s="60">
        <v>129</v>
      </c>
      <c r="D896" s="62">
        <f t="shared" si="15"/>
        <v>122.55</v>
      </c>
    </row>
    <row r="897" spans="2:4" x14ac:dyDescent="0.3">
      <c r="B897" s="60" t="s">
        <v>469</v>
      </c>
      <c r="C897" s="60">
        <v>199</v>
      </c>
      <c r="D897" s="62">
        <f t="shared" si="15"/>
        <v>189.05</v>
      </c>
    </row>
    <row r="898" spans="2:4" x14ac:dyDescent="0.3">
      <c r="B898" s="60" t="s">
        <v>470</v>
      </c>
      <c r="C898" s="60">
        <v>149</v>
      </c>
      <c r="D898" s="62">
        <f t="shared" si="15"/>
        <v>141.55000000000001</v>
      </c>
    </row>
    <row r="899" spans="2:4" x14ac:dyDescent="0.3">
      <c r="B899" s="60" t="s">
        <v>471</v>
      </c>
      <c r="C899" s="60">
        <v>299</v>
      </c>
      <c r="D899" s="62">
        <f t="shared" si="15"/>
        <v>284.05</v>
      </c>
    </row>
    <row r="900" spans="2:4" x14ac:dyDescent="0.3">
      <c r="B900" s="60" t="s">
        <v>472</v>
      </c>
      <c r="C900" s="60">
        <v>299</v>
      </c>
      <c r="D900" s="62">
        <f t="shared" si="15"/>
        <v>284.05</v>
      </c>
    </row>
    <row r="901" spans="2:4" x14ac:dyDescent="0.3">
      <c r="B901" s="60" t="s">
        <v>473</v>
      </c>
      <c r="C901" s="60">
        <v>149</v>
      </c>
      <c r="D901" s="62">
        <f t="shared" si="15"/>
        <v>141.55000000000001</v>
      </c>
    </row>
    <row r="902" spans="2:4" x14ac:dyDescent="0.3">
      <c r="B902" s="60" t="s">
        <v>474</v>
      </c>
      <c r="C902" s="60">
        <v>249</v>
      </c>
      <c r="D902" s="62">
        <f t="shared" si="15"/>
        <v>236.55</v>
      </c>
    </row>
    <row r="903" spans="2:4" x14ac:dyDescent="0.3">
      <c r="B903" s="60" t="s">
        <v>475</v>
      </c>
      <c r="C903" s="60">
        <v>349</v>
      </c>
      <c r="D903" s="62">
        <f t="shared" si="15"/>
        <v>331.55</v>
      </c>
    </row>
    <row r="904" spans="2:4" x14ac:dyDescent="0.3">
      <c r="B904" s="60" t="s">
        <v>476</v>
      </c>
      <c r="C904" s="60">
        <v>149</v>
      </c>
      <c r="D904" s="62">
        <f t="shared" si="15"/>
        <v>141.55000000000001</v>
      </c>
    </row>
    <row r="905" spans="2:4" x14ac:dyDescent="0.3">
      <c r="B905" s="60" t="s">
        <v>477</v>
      </c>
      <c r="C905" s="60">
        <v>249</v>
      </c>
      <c r="D905" s="62">
        <f t="shared" si="15"/>
        <v>236.55</v>
      </c>
    </row>
    <row r="906" spans="2:4" x14ac:dyDescent="0.3">
      <c r="B906" s="60" t="s">
        <v>478</v>
      </c>
      <c r="C906" s="60">
        <v>149</v>
      </c>
      <c r="D906" s="62">
        <f t="shared" si="15"/>
        <v>141.55000000000001</v>
      </c>
    </row>
    <row r="907" spans="2:4" x14ac:dyDescent="0.3">
      <c r="B907" s="60" t="s">
        <v>479</v>
      </c>
      <c r="C907" s="60">
        <v>249</v>
      </c>
      <c r="D907" s="62">
        <f t="shared" si="15"/>
        <v>236.55</v>
      </c>
    </row>
    <row r="908" spans="2:4" x14ac:dyDescent="0.3">
      <c r="B908" s="60" t="s">
        <v>480</v>
      </c>
      <c r="C908" s="60">
        <v>199</v>
      </c>
      <c r="D908" s="62">
        <f t="shared" si="15"/>
        <v>189.05</v>
      </c>
    </row>
    <row r="909" spans="2:4" x14ac:dyDescent="0.3">
      <c r="B909" s="60" t="s">
        <v>481</v>
      </c>
      <c r="C909" s="60">
        <v>169</v>
      </c>
      <c r="D909" s="62">
        <f t="shared" si="15"/>
        <v>160.55000000000001</v>
      </c>
    </row>
    <row r="910" spans="2:4" x14ac:dyDescent="0.3">
      <c r="B910" s="60" t="s">
        <v>482</v>
      </c>
      <c r="C910" s="60">
        <v>149</v>
      </c>
      <c r="D910" s="62">
        <f t="shared" si="15"/>
        <v>141.55000000000001</v>
      </c>
    </row>
    <row r="911" spans="2:4" x14ac:dyDescent="0.3">
      <c r="B911" s="60" t="s">
        <v>483</v>
      </c>
      <c r="C911" s="60">
        <v>299</v>
      </c>
      <c r="D911" s="62">
        <f t="shared" si="15"/>
        <v>284.05</v>
      </c>
    </row>
    <row r="912" spans="2:4" x14ac:dyDescent="0.3">
      <c r="B912" s="60" t="s">
        <v>484</v>
      </c>
      <c r="C912" s="60">
        <v>399</v>
      </c>
      <c r="D912" s="62">
        <f t="shared" si="15"/>
        <v>379.05</v>
      </c>
    </row>
    <row r="913" spans="2:4" x14ac:dyDescent="0.3">
      <c r="B913" s="60" t="s">
        <v>485</v>
      </c>
      <c r="C913" s="60">
        <v>499</v>
      </c>
      <c r="D913" s="62">
        <f t="shared" si="15"/>
        <v>474.05</v>
      </c>
    </row>
    <row r="914" spans="2:4" x14ac:dyDescent="0.3">
      <c r="B914" s="60" t="s">
        <v>486</v>
      </c>
      <c r="C914" s="60">
        <v>399</v>
      </c>
      <c r="D914" s="62">
        <f t="shared" si="15"/>
        <v>379.05</v>
      </c>
    </row>
    <row r="915" spans="2:4" x14ac:dyDescent="0.3">
      <c r="B915" s="60" t="s">
        <v>487</v>
      </c>
      <c r="C915" s="60">
        <v>299</v>
      </c>
      <c r="D915" s="62">
        <f t="shared" si="15"/>
        <v>284.05</v>
      </c>
    </row>
    <row r="916" spans="2:4" x14ac:dyDescent="0.3">
      <c r="B916" s="60" t="s">
        <v>488</v>
      </c>
      <c r="C916" s="60">
        <v>399</v>
      </c>
      <c r="D916" s="62">
        <f t="shared" si="15"/>
        <v>379.05</v>
      </c>
    </row>
    <row r="917" spans="2:4" x14ac:dyDescent="0.3">
      <c r="B917" s="60" t="s">
        <v>489</v>
      </c>
      <c r="C917" s="60">
        <v>249</v>
      </c>
      <c r="D917" s="62">
        <f t="shared" si="15"/>
        <v>236.55</v>
      </c>
    </row>
    <row r="918" spans="2:4" x14ac:dyDescent="0.3">
      <c r="B918" s="60" t="s">
        <v>490</v>
      </c>
      <c r="C918" s="60">
        <v>349</v>
      </c>
      <c r="D918" s="62">
        <f t="shared" si="15"/>
        <v>331.55</v>
      </c>
    </row>
    <row r="919" spans="2:4" x14ac:dyDescent="0.3">
      <c r="B919" s="60" t="s">
        <v>491</v>
      </c>
      <c r="C919" s="60">
        <v>349</v>
      </c>
      <c r="D919" s="62">
        <f t="shared" si="15"/>
        <v>331.55</v>
      </c>
    </row>
    <row r="920" spans="2:4" x14ac:dyDescent="0.3">
      <c r="B920" s="60" t="s">
        <v>492</v>
      </c>
      <c r="C920" s="60">
        <v>399</v>
      </c>
      <c r="D920" s="62">
        <f t="shared" si="15"/>
        <v>379.05</v>
      </c>
    </row>
    <row r="921" spans="2:4" x14ac:dyDescent="0.3">
      <c r="B921" s="60" t="s">
        <v>493</v>
      </c>
      <c r="C921" s="60">
        <v>399</v>
      </c>
      <c r="D921" s="62">
        <f t="shared" si="15"/>
        <v>379.05</v>
      </c>
    </row>
    <row r="922" spans="2:4" x14ac:dyDescent="0.3">
      <c r="B922" s="60" t="s">
        <v>494</v>
      </c>
      <c r="C922" s="60">
        <v>499</v>
      </c>
      <c r="D922" s="62">
        <f t="shared" si="15"/>
        <v>474.05</v>
      </c>
    </row>
    <row r="923" spans="2:4" x14ac:dyDescent="0.3">
      <c r="B923" s="60" t="s">
        <v>495</v>
      </c>
      <c r="C923" s="60">
        <v>199</v>
      </c>
      <c r="D923" s="62">
        <f t="shared" si="15"/>
        <v>189.05</v>
      </c>
    </row>
    <row r="924" spans="2:4" x14ac:dyDescent="0.3">
      <c r="B924" s="60" t="s">
        <v>496</v>
      </c>
      <c r="C924" s="60">
        <v>229</v>
      </c>
      <c r="D924" s="62">
        <f t="shared" si="15"/>
        <v>217.55</v>
      </c>
    </row>
    <row r="925" spans="2:4" x14ac:dyDescent="0.3">
      <c r="B925" s="60" t="s">
        <v>497</v>
      </c>
      <c r="C925" s="60">
        <v>129</v>
      </c>
      <c r="D925" s="62">
        <f t="shared" si="15"/>
        <v>122.55</v>
      </c>
    </row>
    <row r="926" spans="2:4" x14ac:dyDescent="0.3">
      <c r="B926" s="60" t="s">
        <v>498</v>
      </c>
      <c r="C926" s="60">
        <v>199</v>
      </c>
      <c r="D926" s="62">
        <f t="shared" si="15"/>
        <v>189.05</v>
      </c>
    </row>
    <row r="927" spans="2:4" x14ac:dyDescent="0.3">
      <c r="B927" s="60" t="s">
        <v>499</v>
      </c>
      <c r="C927" s="60">
        <v>349</v>
      </c>
      <c r="D927" s="62">
        <f t="shared" si="15"/>
        <v>331.55</v>
      </c>
    </row>
    <row r="928" spans="2:4" x14ac:dyDescent="0.3">
      <c r="B928" s="60" t="s">
        <v>500</v>
      </c>
      <c r="C928" s="60">
        <v>249</v>
      </c>
      <c r="D928" s="62">
        <f t="shared" si="15"/>
        <v>236.55</v>
      </c>
    </row>
    <row r="929" spans="2:4" x14ac:dyDescent="0.3">
      <c r="B929" s="60" t="s">
        <v>501</v>
      </c>
      <c r="C929" s="60">
        <v>149</v>
      </c>
      <c r="D929" s="62">
        <f t="shared" si="15"/>
        <v>141.55000000000001</v>
      </c>
    </row>
    <row r="930" spans="2:4" x14ac:dyDescent="0.3">
      <c r="B930" s="60" t="s">
        <v>502</v>
      </c>
      <c r="C930" s="60">
        <v>399</v>
      </c>
      <c r="D930" s="62">
        <f t="shared" si="15"/>
        <v>379.05</v>
      </c>
    </row>
    <row r="931" spans="2:4" x14ac:dyDescent="0.3">
      <c r="B931" s="60" t="s">
        <v>503</v>
      </c>
      <c r="C931" s="60">
        <v>329</v>
      </c>
      <c r="D931" s="62">
        <f t="shared" si="15"/>
        <v>312.55</v>
      </c>
    </row>
    <row r="932" spans="2:4" x14ac:dyDescent="0.3">
      <c r="B932" s="60" t="s">
        <v>504</v>
      </c>
      <c r="C932" s="60">
        <v>249</v>
      </c>
      <c r="D932" s="62">
        <f t="shared" si="15"/>
        <v>236.55</v>
      </c>
    </row>
    <row r="933" spans="2:4" x14ac:dyDescent="0.3">
      <c r="B933" s="60" t="s">
        <v>505</v>
      </c>
      <c r="C933" s="60">
        <v>169</v>
      </c>
      <c r="D933" s="62">
        <f t="shared" si="15"/>
        <v>160.55000000000001</v>
      </c>
    </row>
    <row r="934" spans="2:4" x14ac:dyDescent="0.3">
      <c r="B934" s="60" t="s">
        <v>506</v>
      </c>
      <c r="C934" s="60">
        <v>249</v>
      </c>
      <c r="D934" s="62">
        <f t="shared" si="15"/>
        <v>236.55</v>
      </c>
    </row>
    <row r="935" spans="2:4" x14ac:dyDescent="0.3">
      <c r="B935" s="60" t="s">
        <v>507</v>
      </c>
      <c r="C935" s="60">
        <v>99</v>
      </c>
      <c r="D935" s="62">
        <f t="shared" si="15"/>
        <v>94.05</v>
      </c>
    </row>
    <row r="936" spans="2:4" x14ac:dyDescent="0.3">
      <c r="B936" s="60" t="s">
        <v>508</v>
      </c>
      <c r="C936" s="60">
        <v>129</v>
      </c>
      <c r="D936" s="62">
        <f t="shared" si="15"/>
        <v>122.55</v>
      </c>
    </row>
    <row r="937" spans="2:4" x14ac:dyDescent="0.3">
      <c r="B937" s="60" t="s">
        <v>509</v>
      </c>
      <c r="C937" s="60">
        <v>249</v>
      </c>
      <c r="D937" s="62">
        <f t="shared" si="15"/>
        <v>236.55</v>
      </c>
    </row>
    <row r="938" spans="2:4" x14ac:dyDescent="0.3">
      <c r="B938" s="60" t="s">
        <v>510</v>
      </c>
      <c r="C938" s="60">
        <v>149</v>
      </c>
      <c r="D938" s="62">
        <f t="shared" si="15"/>
        <v>141.55000000000001</v>
      </c>
    </row>
    <row r="939" spans="2:4" x14ac:dyDescent="0.3">
      <c r="B939" s="60" t="s">
        <v>511</v>
      </c>
      <c r="C939" s="60">
        <v>199</v>
      </c>
      <c r="D939" s="62">
        <f t="shared" si="15"/>
        <v>189.05</v>
      </c>
    </row>
    <row r="940" spans="2:4" x14ac:dyDescent="0.3">
      <c r="B940" s="60" t="s">
        <v>512</v>
      </c>
      <c r="C940" s="60">
        <v>249</v>
      </c>
      <c r="D940" s="62">
        <f t="shared" si="15"/>
        <v>236.55</v>
      </c>
    </row>
    <row r="941" spans="2:4" x14ac:dyDescent="0.3">
      <c r="B941" s="60" t="s">
        <v>513</v>
      </c>
      <c r="C941" s="60">
        <v>299</v>
      </c>
      <c r="D941" s="62">
        <f t="shared" si="15"/>
        <v>284.05</v>
      </c>
    </row>
    <row r="942" spans="2:4" x14ac:dyDescent="0.3">
      <c r="B942" s="60" t="s">
        <v>514</v>
      </c>
      <c r="C942" s="60">
        <v>399</v>
      </c>
      <c r="D942" s="62">
        <f t="shared" ref="D942:D1005" si="16">C942-(C942*(5/100))</f>
        <v>379.05</v>
      </c>
    </row>
    <row r="943" spans="2:4" x14ac:dyDescent="0.3">
      <c r="B943" s="60" t="s">
        <v>515</v>
      </c>
      <c r="C943" s="60">
        <v>299</v>
      </c>
      <c r="D943" s="62">
        <f t="shared" si="16"/>
        <v>284.05</v>
      </c>
    </row>
    <row r="944" spans="2:4" x14ac:dyDescent="0.3">
      <c r="B944" s="60" t="s">
        <v>516</v>
      </c>
      <c r="C944" s="60">
        <v>299</v>
      </c>
      <c r="D944" s="62">
        <f t="shared" si="16"/>
        <v>284.05</v>
      </c>
    </row>
    <row r="945" spans="2:4" x14ac:dyDescent="0.3">
      <c r="B945" s="60" t="s">
        <v>517</v>
      </c>
      <c r="C945" s="60">
        <v>149</v>
      </c>
      <c r="D945" s="62">
        <f t="shared" si="16"/>
        <v>141.55000000000001</v>
      </c>
    </row>
    <row r="946" spans="2:4" x14ac:dyDescent="0.3">
      <c r="B946" s="60" t="s">
        <v>518</v>
      </c>
      <c r="C946" s="60">
        <v>399</v>
      </c>
      <c r="D946" s="62">
        <f t="shared" si="16"/>
        <v>379.05</v>
      </c>
    </row>
    <row r="947" spans="2:4" x14ac:dyDescent="0.3">
      <c r="B947" s="60" t="s">
        <v>519</v>
      </c>
      <c r="C947" s="60">
        <v>249</v>
      </c>
      <c r="D947" s="62">
        <f t="shared" si="16"/>
        <v>236.55</v>
      </c>
    </row>
    <row r="948" spans="2:4" x14ac:dyDescent="0.3">
      <c r="B948" s="60" t="s">
        <v>520</v>
      </c>
      <c r="C948" s="60">
        <v>99</v>
      </c>
      <c r="D948" s="62">
        <f t="shared" si="16"/>
        <v>94.05</v>
      </c>
    </row>
    <row r="949" spans="2:4" x14ac:dyDescent="0.3">
      <c r="B949" s="60" t="s">
        <v>521</v>
      </c>
      <c r="C949" s="60">
        <v>249</v>
      </c>
      <c r="D949" s="62">
        <f t="shared" si="16"/>
        <v>236.55</v>
      </c>
    </row>
    <row r="950" spans="2:4" x14ac:dyDescent="0.3">
      <c r="B950" s="60" t="s">
        <v>522</v>
      </c>
      <c r="C950" s="60">
        <v>199</v>
      </c>
      <c r="D950" s="62">
        <f t="shared" si="16"/>
        <v>189.05</v>
      </c>
    </row>
    <row r="951" spans="2:4" x14ac:dyDescent="0.3">
      <c r="B951" s="60" t="s">
        <v>523</v>
      </c>
      <c r="C951" s="60">
        <v>129</v>
      </c>
      <c r="D951" s="62">
        <f t="shared" si="16"/>
        <v>122.55</v>
      </c>
    </row>
    <row r="952" spans="2:4" x14ac:dyDescent="0.3">
      <c r="B952" s="60" t="s">
        <v>524</v>
      </c>
      <c r="C952" s="60">
        <v>149</v>
      </c>
      <c r="D952" s="62">
        <f t="shared" si="16"/>
        <v>141.55000000000001</v>
      </c>
    </row>
    <row r="953" spans="2:4" x14ac:dyDescent="0.3">
      <c r="B953" s="60" t="s">
        <v>525</v>
      </c>
      <c r="C953" s="60">
        <v>349</v>
      </c>
      <c r="D953" s="62">
        <f t="shared" si="16"/>
        <v>331.55</v>
      </c>
    </row>
    <row r="954" spans="2:4" x14ac:dyDescent="0.3">
      <c r="B954" s="60" t="s">
        <v>526</v>
      </c>
      <c r="C954" s="60">
        <v>399</v>
      </c>
      <c r="D954" s="62">
        <f t="shared" si="16"/>
        <v>379.05</v>
      </c>
    </row>
    <row r="955" spans="2:4" x14ac:dyDescent="0.3">
      <c r="B955" s="60" t="s">
        <v>527</v>
      </c>
      <c r="C955" s="60">
        <v>429</v>
      </c>
      <c r="D955" s="62">
        <f t="shared" si="16"/>
        <v>407.55</v>
      </c>
    </row>
    <row r="956" spans="2:4" x14ac:dyDescent="0.3">
      <c r="B956" s="60" t="s">
        <v>528</v>
      </c>
      <c r="C956" s="60">
        <v>249</v>
      </c>
      <c r="D956" s="62">
        <f t="shared" si="16"/>
        <v>236.55</v>
      </c>
    </row>
    <row r="957" spans="2:4" x14ac:dyDescent="0.3">
      <c r="B957" s="60" t="s">
        <v>529</v>
      </c>
      <c r="C957" s="60">
        <v>329</v>
      </c>
      <c r="D957" s="62">
        <f t="shared" si="16"/>
        <v>312.55</v>
      </c>
    </row>
    <row r="958" spans="2:4" x14ac:dyDescent="0.3">
      <c r="B958" s="60" t="s">
        <v>530</v>
      </c>
      <c r="C958" s="60">
        <v>399</v>
      </c>
      <c r="D958" s="62">
        <f t="shared" si="16"/>
        <v>379.05</v>
      </c>
    </row>
    <row r="959" spans="2:4" x14ac:dyDescent="0.3">
      <c r="B959" s="60" t="s">
        <v>531</v>
      </c>
      <c r="C959" s="60">
        <v>249</v>
      </c>
      <c r="D959" s="62">
        <f t="shared" si="16"/>
        <v>236.55</v>
      </c>
    </row>
    <row r="960" spans="2:4" x14ac:dyDescent="0.3">
      <c r="B960" s="60" t="s">
        <v>532</v>
      </c>
      <c r="C960" s="60">
        <v>399</v>
      </c>
      <c r="D960" s="62">
        <f t="shared" si="16"/>
        <v>379.05</v>
      </c>
    </row>
    <row r="961" spans="2:4" x14ac:dyDescent="0.3">
      <c r="B961" s="60" t="s">
        <v>533</v>
      </c>
      <c r="C961" s="60">
        <v>399</v>
      </c>
      <c r="D961" s="62">
        <f t="shared" si="16"/>
        <v>379.05</v>
      </c>
    </row>
    <row r="962" spans="2:4" x14ac:dyDescent="0.3">
      <c r="B962" s="60" t="s">
        <v>534</v>
      </c>
      <c r="C962" s="60">
        <v>399</v>
      </c>
      <c r="D962" s="62">
        <f t="shared" si="16"/>
        <v>379.05</v>
      </c>
    </row>
    <row r="963" spans="2:4" x14ac:dyDescent="0.3">
      <c r="B963" s="60" t="s">
        <v>537</v>
      </c>
      <c r="C963" s="60">
        <v>399</v>
      </c>
      <c r="D963" s="62">
        <f t="shared" si="16"/>
        <v>379.05</v>
      </c>
    </row>
    <row r="964" spans="2:4" x14ac:dyDescent="0.3">
      <c r="B964" s="60" t="s">
        <v>538</v>
      </c>
      <c r="C964" s="60">
        <v>299</v>
      </c>
      <c r="D964" s="62">
        <f t="shared" si="16"/>
        <v>284.05</v>
      </c>
    </row>
    <row r="965" spans="2:4" x14ac:dyDescent="0.3">
      <c r="B965" s="60" t="s">
        <v>539</v>
      </c>
      <c r="C965" s="60">
        <v>299</v>
      </c>
      <c r="D965" s="62">
        <f t="shared" si="16"/>
        <v>284.05</v>
      </c>
    </row>
    <row r="966" spans="2:4" x14ac:dyDescent="0.3">
      <c r="B966" s="60" t="s">
        <v>540</v>
      </c>
      <c r="C966" s="60">
        <v>299</v>
      </c>
      <c r="D966" s="62">
        <f t="shared" si="16"/>
        <v>284.05</v>
      </c>
    </row>
    <row r="967" spans="2:4" x14ac:dyDescent="0.3">
      <c r="B967" s="60" t="s">
        <v>541</v>
      </c>
      <c r="C967" s="60">
        <v>149</v>
      </c>
      <c r="D967" s="62">
        <f t="shared" si="16"/>
        <v>141.55000000000001</v>
      </c>
    </row>
    <row r="968" spans="2:4" x14ac:dyDescent="0.3">
      <c r="B968" s="60" t="s">
        <v>542</v>
      </c>
      <c r="C968" s="60">
        <v>249</v>
      </c>
      <c r="D968" s="62">
        <f t="shared" si="16"/>
        <v>236.55</v>
      </c>
    </row>
    <row r="969" spans="2:4" x14ac:dyDescent="0.3">
      <c r="B969" s="60" t="s">
        <v>543</v>
      </c>
      <c r="C969" s="60">
        <v>149</v>
      </c>
      <c r="D969" s="62">
        <f t="shared" si="16"/>
        <v>141.55000000000001</v>
      </c>
    </row>
    <row r="970" spans="2:4" x14ac:dyDescent="0.3">
      <c r="B970" s="60" t="s">
        <v>544</v>
      </c>
      <c r="C970" s="60">
        <v>249</v>
      </c>
      <c r="D970" s="62">
        <f t="shared" si="16"/>
        <v>236.55</v>
      </c>
    </row>
    <row r="971" spans="2:4" x14ac:dyDescent="0.3">
      <c r="B971" s="60" t="s">
        <v>545</v>
      </c>
      <c r="C971" s="60">
        <v>399</v>
      </c>
      <c r="D971" s="62">
        <f t="shared" si="16"/>
        <v>379.05</v>
      </c>
    </row>
    <row r="972" spans="2:4" x14ac:dyDescent="0.3">
      <c r="B972" s="60" t="s">
        <v>546</v>
      </c>
      <c r="C972" s="60">
        <v>349</v>
      </c>
      <c r="D972" s="62">
        <f t="shared" si="16"/>
        <v>331.55</v>
      </c>
    </row>
    <row r="973" spans="2:4" x14ac:dyDescent="0.3">
      <c r="B973" s="60" t="s">
        <v>547</v>
      </c>
      <c r="C973" s="60">
        <v>299</v>
      </c>
      <c r="D973" s="62">
        <f t="shared" si="16"/>
        <v>284.05</v>
      </c>
    </row>
    <row r="974" spans="2:4" x14ac:dyDescent="0.3">
      <c r="B974" s="60" t="s">
        <v>548</v>
      </c>
      <c r="C974" s="60">
        <v>249</v>
      </c>
      <c r="D974" s="62">
        <f t="shared" si="16"/>
        <v>236.55</v>
      </c>
    </row>
    <row r="975" spans="2:4" x14ac:dyDescent="0.3">
      <c r="B975" s="60" t="s">
        <v>549</v>
      </c>
      <c r="C975" s="60">
        <v>299</v>
      </c>
      <c r="D975" s="62">
        <f t="shared" si="16"/>
        <v>284.05</v>
      </c>
    </row>
    <row r="976" spans="2:4" x14ac:dyDescent="0.3">
      <c r="B976" s="60" t="s">
        <v>550</v>
      </c>
      <c r="C976" s="60">
        <v>299</v>
      </c>
      <c r="D976" s="62">
        <f t="shared" si="16"/>
        <v>284.05</v>
      </c>
    </row>
    <row r="977" spans="2:4" x14ac:dyDescent="0.3">
      <c r="B977" s="60" t="s">
        <v>551</v>
      </c>
      <c r="C977" s="60">
        <v>149</v>
      </c>
      <c r="D977" s="62">
        <f t="shared" si="16"/>
        <v>141.55000000000001</v>
      </c>
    </row>
    <row r="978" spans="2:4" x14ac:dyDescent="0.3">
      <c r="B978" s="60" t="s">
        <v>552</v>
      </c>
      <c r="C978" s="60">
        <v>429</v>
      </c>
      <c r="D978" s="62">
        <f t="shared" si="16"/>
        <v>407.55</v>
      </c>
    </row>
    <row r="979" spans="2:4" x14ac:dyDescent="0.3">
      <c r="B979" s="60" t="s">
        <v>553</v>
      </c>
      <c r="C979" s="60">
        <v>349</v>
      </c>
      <c r="D979" s="62">
        <f t="shared" si="16"/>
        <v>331.55</v>
      </c>
    </row>
    <row r="980" spans="2:4" x14ac:dyDescent="0.3">
      <c r="B980" s="60" t="s">
        <v>554</v>
      </c>
      <c r="C980" s="60">
        <v>199</v>
      </c>
      <c r="D980" s="62">
        <f t="shared" si="16"/>
        <v>189.05</v>
      </c>
    </row>
    <row r="981" spans="2:4" x14ac:dyDescent="0.3">
      <c r="B981" s="60" t="s">
        <v>555</v>
      </c>
      <c r="C981" s="60">
        <v>199</v>
      </c>
      <c r="D981" s="62">
        <f t="shared" si="16"/>
        <v>189.05</v>
      </c>
    </row>
    <row r="982" spans="2:4" x14ac:dyDescent="0.3">
      <c r="B982" s="60" t="s">
        <v>556</v>
      </c>
      <c r="C982" s="60">
        <v>229</v>
      </c>
      <c r="D982" s="62">
        <f t="shared" si="16"/>
        <v>217.55</v>
      </c>
    </row>
    <row r="983" spans="2:4" x14ac:dyDescent="0.3">
      <c r="B983" s="60" t="s">
        <v>557</v>
      </c>
      <c r="C983" s="60">
        <v>149</v>
      </c>
      <c r="D983" s="62">
        <f t="shared" si="16"/>
        <v>141.55000000000001</v>
      </c>
    </row>
    <row r="984" spans="2:4" x14ac:dyDescent="0.3">
      <c r="B984" s="60" t="s">
        <v>558</v>
      </c>
      <c r="C984" s="60">
        <v>299</v>
      </c>
      <c r="D984" s="62">
        <f t="shared" si="16"/>
        <v>284.05</v>
      </c>
    </row>
    <row r="985" spans="2:4" x14ac:dyDescent="0.3">
      <c r="B985" s="60" t="s">
        <v>559</v>
      </c>
      <c r="C985" s="60">
        <v>249</v>
      </c>
      <c r="D985" s="62">
        <f t="shared" si="16"/>
        <v>236.55</v>
      </c>
    </row>
    <row r="986" spans="2:4" x14ac:dyDescent="0.3">
      <c r="B986" s="60" t="s">
        <v>560</v>
      </c>
      <c r="C986" s="60">
        <v>199</v>
      </c>
      <c r="D986" s="62">
        <f t="shared" si="16"/>
        <v>189.05</v>
      </c>
    </row>
    <row r="987" spans="2:4" x14ac:dyDescent="0.3">
      <c r="B987" s="60" t="s">
        <v>561</v>
      </c>
      <c r="C987" s="60">
        <v>299</v>
      </c>
      <c r="D987" s="62">
        <f t="shared" si="16"/>
        <v>284.05</v>
      </c>
    </row>
    <row r="988" spans="2:4" x14ac:dyDescent="0.3">
      <c r="B988" s="60" t="s">
        <v>562</v>
      </c>
      <c r="C988" s="60">
        <v>99</v>
      </c>
      <c r="D988" s="62">
        <f t="shared" si="16"/>
        <v>94.05</v>
      </c>
    </row>
    <row r="989" spans="2:4" x14ac:dyDescent="0.3">
      <c r="B989" s="60" t="s">
        <v>563</v>
      </c>
      <c r="C989" s="60">
        <v>129</v>
      </c>
      <c r="D989" s="62">
        <f t="shared" si="16"/>
        <v>122.55</v>
      </c>
    </row>
    <row r="990" spans="2:4" x14ac:dyDescent="0.3">
      <c r="B990" s="60" t="s">
        <v>564</v>
      </c>
      <c r="C990" s="60">
        <v>129</v>
      </c>
      <c r="D990" s="62">
        <f t="shared" si="16"/>
        <v>122.55</v>
      </c>
    </row>
    <row r="991" spans="2:4" x14ac:dyDescent="0.3">
      <c r="B991" s="60" t="s">
        <v>565</v>
      </c>
      <c r="C991" s="60">
        <v>329</v>
      </c>
      <c r="D991" s="62">
        <f t="shared" si="16"/>
        <v>312.55</v>
      </c>
    </row>
    <row r="992" spans="2:4" x14ac:dyDescent="0.3">
      <c r="B992" s="60" t="s">
        <v>566</v>
      </c>
      <c r="C992" s="60">
        <v>349</v>
      </c>
      <c r="D992" s="62">
        <f t="shared" si="16"/>
        <v>331.55</v>
      </c>
    </row>
    <row r="993" spans="2:4" x14ac:dyDescent="0.3">
      <c r="B993" s="60" t="s">
        <v>567</v>
      </c>
      <c r="C993" s="60">
        <v>249</v>
      </c>
      <c r="D993" s="62">
        <f t="shared" si="16"/>
        <v>236.55</v>
      </c>
    </row>
    <row r="994" spans="2:4" x14ac:dyDescent="0.3">
      <c r="B994" s="60" t="s">
        <v>568</v>
      </c>
      <c r="C994" s="60">
        <v>249</v>
      </c>
      <c r="D994" s="62">
        <f t="shared" si="16"/>
        <v>236.55</v>
      </c>
    </row>
    <row r="995" spans="2:4" x14ac:dyDescent="0.3">
      <c r="B995" s="60" t="s">
        <v>569</v>
      </c>
      <c r="C995" s="60">
        <v>149</v>
      </c>
      <c r="D995" s="62">
        <f t="shared" si="16"/>
        <v>141.55000000000001</v>
      </c>
    </row>
    <row r="996" spans="2:4" x14ac:dyDescent="0.3">
      <c r="B996" s="60" t="s">
        <v>570</v>
      </c>
      <c r="C996" s="60">
        <v>399</v>
      </c>
      <c r="D996" s="62">
        <f t="shared" si="16"/>
        <v>379.05</v>
      </c>
    </row>
    <row r="997" spans="2:4" x14ac:dyDescent="0.3">
      <c r="B997" s="60" t="s">
        <v>571</v>
      </c>
      <c r="C997" s="60">
        <v>249</v>
      </c>
      <c r="D997" s="62">
        <f t="shared" si="16"/>
        <v>236.55</v>
      </c>
    </row>
    <row r="998" spans="2:4" x14ac:dyDescent="0.3">
      <c r="B998" s="60" t="s">
        <v>572</v>
      </c>
      <c r="C998" s="60">
        <v>399</v>
      </c>
      <c r="D998" s="62">
        <f t="shared" si="16"/>
        <v>379.05</v>
      </c>
    </row>
    <row r="999" spans="2:4" x14ac:dyDescent="0.3">
      <c r="B999" s="60" t="s">
        <v>573</v>
      </c>
      <c r="C999" s="60">
        <v>399</v>
      </c>
      <c r="D999" s="62">
        <f t="shared" si="16"/>
        <v>379.05</v>
      </c>
    </row>
    <row r="1000" spans="2:4" x14ac:dyDescent="0.3">
      <c r="B1000" s="60" t="s">
        <v>574</v>
      </c>
      <c r="C1000" s="60">
        <v>399</v>
      </c>
      <c r="D1000" s="62">
        <f t="shared" si="16"/>
        <v>379.05</v>
      </c>
    </row>
    <row r="1001" spans="2:4" x14ac:dyDescent="0.3">
      <c r="B1001" s="60" t="s">
        <v>686</v>
      </c>
      <c r="C1001" s="60">
        <v>299</v>
      </c>
      <c r="D1001" s="62">
        <f t="shared" si="16"/>
        <v>284.05</v>
      </c>
    </row>
    <row r="1002" spans="2:4" x14ac:dyDescent="0.3">
      <c r="B1002" s="60" t="s">
        <v>687</v>
      </c>
      <c r="C1002" s="60">
        <v>399</v>
      </c>
      <c r="D1002" s="62">
        <f t="shared" si="16"/>
        <v>379.05</v>
      </c>
    </row>
    <row r="1003" spans="2:4" x14ac:dyDescent="0.3">
      <c r="B1003" s="60" t="s">
        <v>688</v>
      </c>
      <c r="C1003" s="60">
        <v>299</v>
      </c>
      <c r="D1003" s="62">
        <f t="shared" si="16"/>
        <v>284.05</v>
      </c>
    </row>
    <row r="1004" spans="2:4" x14ac:dyDescent="0.3">
      <c r="B1004" s="60" t="s">
        <v>689</v>
      </c>
      <c r="C1004" s="60">
        <v>199</v>
      </c>
      <c r="D1004" s="62">
        <f t="shared" si="16"/>
        <v>189.05</v>
      </c>
    </row>
    <row r="1005" spans="2:4" x14ac:dyDescent="0.3">
      <c r="B1005" s="60" t="s">
        <v>690</v>
      </c>
      <c r="C1005" s="60">
        <v>199</v>
      </c>
      <c r="D1005" s="62">
        <f t="shared" si="16"/>
        <v>189.05</v>
      </c>
    </row>
    <row r="1006" spans="2:4" x14ac:dyDescent="0.3">
      <c r="B1006" s="60" t="s">
        <v>691</v>
      </c>
      <c r="C1006" s="60">
        <v>149</v>
      </c>
      <c r="D1006" s="62">
        <f t="shared" ref="D1006:D1069" si="17">C1006-(C1006*(5/100))</f>
        <v>141.55000000000001</v>
      </c>
    </row>
    <row r="1007" spans="2:4" x14ac:dyDescent="0.3">
      <c r="B1007" s="60" t="s">
        <v>692</v>
      </c>
      <c r="C1007" s="60">
        <v>249</v>
      </c>
      <c r="D1007" s="62">
        <f t="shared" si="17"/>
        <v>236.55</v>
      </c>
    </row>
    <row r="1008" spans="2:4" x14ac:dyDescent="0.3">
      <c r="B1008" s="60" t="s">
        <v>693</v>
      </c>
      <c r="C1008" s="60">
        <v>149</v>
      </c>
      <c r="D1008" s="62">
        <f t="shared" si="17"/>
        <v>141.55000000000001</v>
      </c>
    </row>
    <row r="1009" spans="2:4" x14ac:dyDescent="0.3">
      <c r="B1009" s="60" t="s">
        <v>694</v>
      </c>
      <c r="C1009" s="60">
        <v>99</v>
      </c>
      <c r="D1009" s="62">
        <f t="shared" si="17"/>
        <v>94.05</v>
      </c>
    </row>
    <row r="1010" spans="2:4" x14ac:dyDescent="0.3">
      <c r="B1010" s="60" t="s">
        <v>695</v>
      </c>
      <c r="C1010" s="60">
        <v>249</v>
      </c>
      <c r="D1010" s="62">
        <f t="shared" si="17"/>
        <v>236.55</v>
      </c>
    </row>
    <row r="1011" spans="2:4" x14ac:dyDescent="0.3">
      <c r="B1011" s="60" t="s">
        <v>696</v>
      </c>
      <c r="C1011" s="60">
        <v>149</v>
      </c>
      <c r="D1011" s="62">
        <f t="shared" si="17"/>
        <v>141.55000000000001</v>
      </c>
    </row>
    <row r="1012" spans="2:4" x14ac:dyDescent="0.3">
      <c r="B1012" s="60" t="s">
        <v>697</v>
      </c>
      <c r="C1012" s="60">
        <v>249</v>
      </c>
      <c r="D1012" s="62">
        <f t="shared" si="17"/>
        <v>236.55</v>
      </c>
    </row>
    <row r="1013" spans="2:4" x14ac:dyDescent="0.3">
      <c r="B1013" s="60" t="s">
        <v>698</v>
      </c>
      <c r="C1013" s="60">
        <v>199</v>
      </c>
      <c r="D1013" s="62">
        <f t="shared" si="17"/>
        <v>189.05</v>
      </c>
    </row>
    <row r="1014" spans="2:4" x14ac:dyDescent="0.3">
      <c r="B1014" s="60" t="s">
        <v>699</v>
      </c>
      <c r="C1014" s="60">
        <v>249</v>
      </c>
      <c r="D1014" s="62">
        <f t="shared" si="17"/>
        <v>236.55</v>
      </c>
    </row>
    <row r="1015" spans="2:4" x14ac:dyDescent="0.3">
      <c r="B1015" s="60" t="s">
        <v>700</v>
      </c>
      <c r="C1015" s="60">
        <v>179</v>
      </c>
      <c r="D1015" s="62">
        <f t="shared" si="17"/>
        <v>170.05</v>
      </c>
    </row>
    <row r="1016" spans="2:4" x14ac:dyDescent="0.3">
      <c r="B1016" s="60" t="s">
        <v>701</v>
      </c>
      <c r="C1016" s="60">
        <v>199</v>
      </c>
      <c r="D1016" s="62">
        <f t="shared" si="17"/>
        <v>189.05</v>
      </c>
    </row>
    <row r="1017" spans="2:4" x14ac:dyDescent="0.3">
      <c r="B1017" s="60" t="s">
        <v>702</v>
      </c>
      <c r="C1017" s="60">
        <v>229</v>
      </c>
      <c r="D1017" s="62">
        <f t="shared" si="17"/>
        <v>217.55</v>
      </c>
    </row>
    <row r="1018" spans="2:4" x14ac:dyDescent="0.3">
      <c r="B1018" s="60" t="s">
        <v>703</v>
      </c>
      <c r="C1018" s="60">
        <v>399</v>
      </c>
      <c r="D1018" s="62">
        <f t="shared" si="17"/>
        <v>379.05</v>
      </c>
    </row>
    <row r="1019" spans="2:4" x14ac:dyDescent="0.3">
      <c r="B1019" s="60" t="s">
        <v>704</v>
      </c>
      <c r="C1019" s="60">
        <v>399</v>
      </c>
      <c r="D1019" s="62">
        <f t="shared" si="17"/>
        <v>379.05</v>
      </c>
    </row>
    <row r="1020" spans="2:4" x14ac:dyDescent="0.3">
      <c r="B1020" s="60" t="s">
        <v>705</v>
      </c>
      <c r="C1020" s="60">
        <v>399</v>
      </c>
      <c r="D1020" s="62">
        <f t="shared" si="17"/>
        <v>379.05</v>
      </c>
    </row>
    <row r="1021" spans="2:4" x14ac:dyDescent="0.3">
      <c r="B1021" s="60" t="s">
        <v>706</v>
      </c>
      <c r="C1021" s="60">
        <v>499</v>
      </c>
      <c r="D1021" s="62">
        <f t="shared" si="17"/>
        <v>474.05</v>
      </c>
    </row>
    <row r="1022" spans="2:4" x14ac:dyDescent="0.3">
      <c r="B1022" s="60" t="s">
        <v>707</v>
      </c>
      <c r="C1022" s="60">
        <v>529</v>
      </c>
      <c r="D1022" s="62">
        <f t="shared" si="17"/>
        <v>502.55</v>
      </c>
    </row>
    <row r="1023" spans="2:4" x14ac:dyDescent="0.3">
      <c r="B1023" s="60" t="s">
        <v>708</v>
      </c>
      <c r="C1023" s="60">
        <v>549</v>
      </c>
      <c r="D1023" s="62">
        <f t="shared" si="17"/>
        <v>521.54999999999995</v>
      </c>
    </row>
    <row r="1024" spans="2:4" x14ac:dyDescent="0.3">
      <c r="B1024" s="60" t="s">
        <v>709</v>
      </c>
      <c r="C1024" s="60">
        <v>249</v>
      </c>
      <c r="D1024" s="62">
        <f t="shared" si="17"/>
        <v>236.55</v>
      </c>
    </row>
    <row r="1025" spans="2:4" x14ac:dyDescent="0.3">
      <c r="B1025" s="60" t="s">
        <v>710</v>
      </c>
      <c r="C1025" s="60">
        <v>99</v>
      </c>
      <c r="D1025" s="62">
        <f t="shared" si="17"/>
        <v>94.05</v>
      </c>
    </row>
    <row r="1026" spans="2:4" x14ac:dyDescent="0.3">
      <c r="B1026" s="60" t="s">
        <v>711</v>
      </c>
      <c r="C1026" s="60">
        <v>229</v>
      </c>
      <c r="D1026" s="62">
        <f t="shared" si="17"/>
        <v>217.55</v>
      </c>
    </row>
    <row r="1027" spans="2:4" x14ac:dyDescent="0.3">
      <c r="B1027" s="60" t="s">
        <v>712</v>
      </c>
      <c r="C1027" s="60">
        <v>199</v>
      </c>
      <c r="D1027" s="62">
        <f t="shared" si="17"/>
        <v>189.05</v>
      </c>
    </row>
    <row r="1028" spans="2:4" x14ac:dyDescent="0.3">
      <c r="B1028" s="60" t="s">
        <v>713</v>
      </c>
      <c r="C1028" s="60">
        <v>299</v>
      </c>
      <c r="D1028" s="62">
        <f t="shared" si="17"/>
        <v>284.05</v>
      </c>
    </row>
    <row r="1029" spans="2:4" x14ac:dyDescent="0.3">
      <c r="B1029" s="60" t="s">
        <v>714</v>
      </c>
      <c r="C1029" s="60">
        <v>149</v>
      </c>
      <c r="D1029" s="62">
        <f t="shared" si="17"/>
        <v>141.55000000000001</v>
      </c>
    </row>
    <row r="1030" spans="2:4" x14ac:dyDescent="0.3">
      <c r="B1030" s="60" t="s">
        <v>715</v>
      </c>
      <c r="C1030" s="60">
        <v>429</v>
      </c>
      <c r="D1030" s="62">
        <f t="shared" si="17"/>
        <v>407.55</v>
      </c>
    </row>
    <row r="1031" spans="2:4" x14ac:dyDescent="0.3">
      <c r="B1031" s="60" t="s">
        <v>716</v>
      </c>
      <c r="C1031" s="60">
        <v>399</v>
      </c>
      <c r="D1031" s="62">
        <f t="shared" si="17"/>
        <v>379.05</v>
      </c>
    </row>
    <row r="1032" spans="2:4" x14ac:dyDescent="0.3">
      <c r="B1032" s="60" t="s">
        <v>717</v>
      </c>
      <c r="C1032" s="60">
        <v>299</v>
      </c>
      <c r="D1032" s="62">
        <f t="shared" si="17"/>
        <v>284.05</v>
      </c>
    </row>
    <row r="1033" spans="2:4" x14ac:dyDescent="0.3">
      <c r="B1033" s="60" t="s">
        <v>718</v>
      </c>
      <c r="C1033" s="60">
        <v>299</v>
      </c>
      <c r="D1033" s="62">
        <f t="shared" si="17"/>
        <v>284.05</v>
      </c>
    </row>
    <row r="1034" spans="2:4" x14ac:dyDescent="0.3">
      <c r="B1034" s="60" t="s">
        <v>719</v>
      </c>
      <c r="C1034" s="60">
        <v>249</v>
      </c>
      <c r="D1034" s="62">
        <f t="shared" si="17"/>
        <v>236.55</v>
      </c>
    </row>
    <row r="1035" spans="2:4" x14ac:dyDescent="0.3">
      <c r="B1035" s="60" t="s">
        <v>720</v>
      </c>
      <c r="C1035" s="60">
        <v>179</v>
      </c>
      <c r="D1035" s="62">
        <f t="shared" si="17"/>
        <v>170.05</v>
      </c>
    </row>
    <row r="1036" spans="2:4" x14ac:dyDescent="0.3">
      <c r="B1036" s="60" t="s">
        <v>721</v>
      </c>
      <c r="C1036" s="60">
        <v>349</v>
      </c>
      <c r="D1036" s="62">
        <f t="shared" si="17"/>
        <v>331.55</v>
      </c>
    </row>
    <row r="1037" spans="2:4" x14ac:dyDescent="0.3">
      <c r="B1037" s="60" t="s">
        <v>722</v>
      </c>
      <c r="C1037" s="60">
        <v>99</v>
      </c>
      <c r="D1037" s="62">
        <f t="shared" si="17"/>
        <v>94.05</v>
      </c>
    </row>
    <row r="1038" spans="2:4" x14ac:dyDescent="0.3">
      <c r="B1038" s="60" t="s">
        <v>723</v>
      </c>
      <c r="C1038" s="60">
        <v>299</v>
      </c>
      <c r="D1038" s="62">
        <f t="shared" si="17"/>
        <v>284.05</v>
      </c>
    </row>
    <row r="1039" spans="2:4" x14ac:dyDescent="0.3">
      <c r="B1039" s="60" t="s">
        <v>724</v>
      </c>
      <c r="C1039" s="60">
        <v>199</v>
      </c>
      <c r="D1039" s="62">
        <f t="shared" si="17"/>
        <v>189.05</v>
      </c>
    </row>
    <row r="1040" spans="2:4" x14ac:dyDescent="0.3">
      <c r="B1040" s="60" t="s">
        <v>725</v>
      </c>
      <c r="C1040" s="60">
        <v>249</v>
      </c>
      <c r="D1040" s="62">
        <f t="shared" si="17"/>
        <v>236.55</v>
      </c>
    </row>
    <row r="1041" spans="2:4" x14ac:dyDescent="0.3">
      <c r="B1041" s="60" t="s">
        <v>726</v>
      </c>
      <c r="C1041" s="60">
        <v>249</v>
      </c>
      <c r="D1041" s="62">
        <f t="shared" si="17"/>
        <v>236.55</v>
      </c>
    </row>
    <row r="1042" spans="2:4" x14ac:dyDescent="0.3">
      <c r="B1042" s="60" t="s">
        <v>727</v>
      </c>
      <c r="C1042" s="60">
        <v>199</v>
      </c>
      <c r="D1042" s="62">
        <f t="shared" si="17"/>
        <v>189.05</v>
      </c>
    </row>
    <row r="1043" spans="2:4" x14ac:dyDescent="0.3">
      <c r="B1043" s="60" t="s">
        <v>728</v>
      </c>
      <c r="C1043" s="60">
        <v>179</v>
      </c>
      <c r="D1043" s="62">
        <f t="shared" si="17"/>
        <v>170.05</v>
      </c>
    </row>
    <row r="1044" spans="2:4" x14ac:dyDescent="0.3">
      <c r="B1044" s="60" t="s">
        <v>729</v>
      </c>
      <c r="C1044" s="60">
        <v>429</v>
      </c>
      <c r="D1044" s="62">
        <f t="shared" si="17"/>
        <v>407.55</v>
      </c>
    </row>
    <row r="1045" spans="2:4" x14ac:dyDescent="0.3">
      <c r="B1045" s="60" t="s">
        <v>730</v>
      </c>
      <c r="C1045" s="60">
        <v>429</v>
      </c>
      <c r="D1045" s="62">
        <f t="shared" si="17"/>
        <v>407.55</v>
      </c>
    </row>
    <row r="1046" spans="2:4" x14ac:dyDescent="0.3">
      <c r="B1046" s="60" t="s">
        <v>731</v>
      </c>
      <c r="C1046" s="60">
        <v>399</v>
      </c>
      <c r="D1046" s="62">
        <f t="shared" si="17"/>
        <v>379.05</v>
      </c>
    </row>
    <row r="1047" spans="2:4" x14ac:dyDescent="0.3">
      <c r="B1047" s="60" t="s">
        <v>732</v>
      </c>
      <c r="C1047" s="60">
        <v>299</v>
      </c>
      <c r="D1047" s="62">
        <f t="shared" si="17"/>
        <v>284.05</v>
      </c>
    </row>
    <row r="1048" spans="2:4" x14ac:dyDescent="0.3">
      <c r="B1048" s="60" t="s">
        <v>733</v>
      </c>
      <c r="C1048" s="60">
        <v>249</v>
      </c>
      <c r="D1048" s="62">
        <f t="shared" si="17"/>
        <v>236.55</v>
      </c>
    </row>
    <row r="1049" spans="2:4" x14ac:dyDescent="0.3">
      <c r="B1049" s="60" t="s">
        <v>734</v>
      </c>
      <c r="C1049" s="60">
        <v>299</v>
      </c>
      <c r="D1049" s="62">
        <f t="shared" si="17"/>
        <v>284.05</v>
      </c>
    </row>
    <row r="1050" spans="2:4" x14ac:dyDescent="0.3">
      <c r="B1050" s="60" t="s">
        <v>735</v>
      </c>
      <c r="C1050" s="60">
        <v>299</v>
      </c>
      <c r="D1050" s="62">
        <f t="shared" si="17"/>
        <v>284.05</v>
      </c>
    </row>
    <row r="1051" spans="2:4" x14ac:dyDescent="0.3">
      <c r="B1051" s="60" t="s">
        <v>736</v>
      </c>
      <c r="C1051" s="60">
        <v>349</v>
      </c>
      <c r="D1051" s="62">
        <f t="shared" si="17"/>
        <v>331.55</v>
      </c>
    </row>
    <row r="1052" spans="2:4" x14ac:dyDescent="0.3">
      <c r="B1052" s="60" t="s">
        <v>737</v>
      </c>
      <c r="C1052" s="60">
        <v>299</v>
      </c>
      <c r="D1052" s="62">
        <f t="shared" si="17"/>
        <v>284.05</v>
      </c>
    </row>
    <row r="1053" spans="2:4" x14ac:dyDescent="0.3">
      <c r="B1053" s="60" t="s">
        <v>738</v>
      </c>
      <c r="C1053" s="60">
        <v>399</v>
      </c>
      <c r="D1053" s="62">
        <f t="shared" si="17"/>
        <v>379.05</v>
      </c>
    </row>
    <row r="1054" spans="2:4" x14ac:dyDescent="0.3">
      <c r="B1054" s="60" t="s">
        <v>739</v>
      </c>
      <c r="C1054" s="60">
        <v>399</v>
      </c>
      <c r="D1054" s="62">
        <f t="shared" si="17"/>
        <v>379.05</v>
      </c>
    </row>
    <row r="1055" spans="2:4" x14ac:dyDescent="0.3">
      <c r="B1055" s="60" t="s">
        <v>740</v>
      </c>
      <c r="C1055" s="60">
        <v>349</v>
      </c>
      <c r="D1055" s="62">
        <f t="shared" si="17"/>
        <v>331.55</v>
      </c>
    </row>
    <row r="1056" spans="2:4" x14ac:dyDescent="0.3">
      <c r="B1056" s="60" t="s">
        <v>741</v>
      </c>
      <c r="C1056" s="60">
        <v>249</v>
      </c>
      <c r="D1056" s="62">
        <f t="shared" si="17"/>
        <v>236.55</v>
      </c>
    </row>
    <row r="1057" spans="2:4" x14ac:dyDescent="0.3">
      <c r="B1057" s="60" t="s">
        <v>742</v>
      </c>
      <c r="C1057" s="60">
        <v>399</v>
      </c>
      <c r="D1057" s="62">
        <f t="shared" si="17"/>
        <v>379.05</v>
      </c>
    </row>
    <row r="1058" spans="2:4" x14ac:dyDescent="0.3">
      <c r="B1058" s="60" t="s">
        <v>743</v>
      </c>
      <c r="C1058" s="60">
        <v>299</v>
      </c>
      <c r="D1058" s="62">
        <f t="shared" si="17"/>
        <v>284.05</v>
      </c>
    </row>
    <row r="1059" spans="2:4" x14ac:dyDescent="0.3">
      <c r="B1059" s="60" t="s">
        <v>744</v>
      </c>
      <c r="C1059" s="60">
        <v>399</v>
      </c>
      <c r="D1059" s="62">
        <f t="shared" si="17"/>
        <v>379.05</v>
      </c>
    </row>
    <row r="1060" spans="2:4" x14ac:dyDescent="0.3">
      <c r="B1060" s="60" t="s">
        <v>745</v>
      </c>
      <c r="C1060" s="60">
        <v>299</v>
      </c>
      <c r="D1060" s="62">
        <f t="shared" si="17"/>
        <v>284.05</v>
      </c>
    </row>
    <row r="1061" spans="2:4" x14ac:dyDescent="0.3">
      <c r="B1061" s="60" t="s">
        <v>746</v>
      </c>
      <c r="C1061" s="60">
        <v>149</v>
      </c>
      <c r="D1061" s="62">
        <f t="shared" si="17"/>
        <v>141.55000000000001</v>
      </c>
    </row>
    <row r="1062" spans="2:4" x14ac:dyDescent="0.3">
      <c r="B1062" s="60" t="s">
        <v>747</v>
      </c>
      <c r="C1062" s="60">
        <v>249</v>
      </c>
      <c r="D1062" s="62">
        <f t="shared" si="17"/>
        <v>236.55</v>
      </c>
    </row>
    <row r="1063" spans="2:4" x14ac:dyDescent="0.3">
      <c r="B1063" s="60" t="s">
        <v>748</v>
      </c>
      <c r="C1063" s="60">
        <v>399</v>
      </c>
      <c r="D1063" s="62">
        <f t="shared" si="17"/>
        <v>379.05</v>
      </c>
    </row>
    <row r="1064" spans="2:4" x14ac:dyDescent="0.3">
      <c r="B1064" s="60" t="s">
        <v>749</v>
      </c>
      <c r="C1064" s="60">
        <v>249</v>
      </c>
      <c r="D1064" s="62">
        <f t="shared" si="17"/>
        <v>236.55</v>
      </c>
    </row>
    <row r="1065" spans="2:4" x14ac:dyDescent="0.3">
      <c r="B1065" s="60" t="s">
        <v>750</v>
      </c>
      <c r="C1065" s="60">
        <v>299</v>
      </c>
      <c r="D1065" s="62">
        <f t="shared" si="17"/>
        <v>284.05</v>
      </c>
    </row>
    <row r="1066" spans="2:4" x14ac:dyDescent="0.3">
      <c r="B1066" s="60" t="s">
        <v>751</v>
      </c>
      <c r="C1066" s="60">
        <v>399</v>
      </c>
      <c r="D1066" s="62">
        <f t="shared" si="17"/>
        <v>379.05</v>
      </c>
    </row>
    <row r="1067" spans="2:4" x14ac:dyDescent="0.3">
      <c r="B1067" s="60" t="s">
        <v>752</v>
      </c>
      <c r="C1067" s="60">
        <v>299</v>
      </c>
      <c r="D1067" s="62">
        <f t="shared" si="17"/>
        <v>284.05</v>
      </c>
    </row>
    <row r="1068" spans="2:4" x14ac:dyDescent="0.3">
      <c r="B1068" s="60" t="s">
        <v>753</v>
      </c>
      <c r="C1068" s="60">
        <v>249</v>
      </c>
      <c r="D1068" s="62">
        <f t="shared" si="17"/>
        <v>236.55</v>
      </c>
    </row>
    <row r="1069" spans="2:4" x14ac:dyDescent="0.3">
      <c r="B1069" s="60" t="s">
        <v>754</v>
      </c>
      <c r="C1069" s="60">
        <v>299</v>
      </c>
      <c r="D1069" s="62">
        <f t="shared" si="17"/>
        <v>284.05</v>
      </c>
    </row>
    <row r="1070" spans="2:4" x14ac:dyDescent="0.3">
      <c r="B1070" s="60" t="s">
        <v>755</v>
      </c>
      <c r="C1070" s="60">
        <v>299</v>
      </c>
      <c r="D1070" s="62">
        <f t="shared" ref="D1070:D1133" si="18">C1070-(C1070*(5/100))</f>
        <v>284.05</v>
      </c>
    </row>
    <row r="1071" spans="2:4" x14ac:dyDescent="0.3">
      <c r="B1071" s="60" t="s">
        <v>756</v>
      </c>
      <c r="C1071" s="60">
        <v>399</v>
      </c>
      <c r="D1071" s="62">
        <f t="shared" si="18"/>
        <v>379.05</v>
      </c>
    </row>
    <row r="1072" spans="2:4" x14ac:dyDescent="0.3">
      <c r="B1072" s="60" t="s">
        <v>757</v>
      </c>
      <c r="C1072" s="60">
        <v>599</v>
      </c>
      <c r="D1072" s="62">
        <f t="shared" si="18"/>
        <v>569.04999999999995</v>
      </c>
    </row>
    <row r="1073" spans="2:4" x14ac:dyDescent="0.3">
      <c r="B1073" s="60" t="s">
        <v>758</v>
      </c>
      <c r="C1073" s="60">
        <v>599</v>
      </c>
      <c r="D1073" s="62">
        <f t="shared" si="18"/>
        <v>569.04999999999995</v>
      </c>
    </row>
    <row r="1074" spans="2:4" x14ac:dyDescent="0.3">
      <c r="B1074" s="60" t="s">
        <v>759</v>
      </c>
      <c r="C1074" s="60">
        <v>249</v>
      </c>
      <c r="D1074" s="62">
        <f t="shared" si="18"/>
        <v>236.55</v>
      </c>
    </row>
    <row r="1075" spans="2:4" x14ac:dyDescent="0.3">
      <c r="B1075" s="60" t="s">
        <v>760</v>
      </c>
      <c r="C1075" s="60">
        <v>399</v>
      </c>
      <c r="D1075" s="62">
        <f t="shared" si="18"/>
        <v>379.05</v>
      </c>
    </row>
    <row r="1076" spans="2:4" x14ac:dyDescent="0.3">
      <c r="B1076" s="60" t="s">
        <v>761</v>
      </c>
      <c r="C1076" s="60">
        <v>249</v>
      </c>
      <c r="D1076" s="62">
        <f t="shared" si="18"/>
        <v>236.55</v>
      </c>
    </row>
    <row r="1077" spans="2:4" x14ac:dyDescent="0.3">
      <c r="B1077" s="60" t="s">
        <v>762</v>
      </c>
      <c r="C1077" s="60">
        <v>399</v>
      </c>
      <c r="D1077" s="62">
        <f t="shared" si="18"/>
        <v>379.05</v>
      </c>
    </row>
    <row r="1078" spans="2:4" x14ac:dyDescent="0.3">
      <c r="B1078" s="60" t="s">
        <v>763</v>
      </c>
      <c r="C1078" s="60">
        <v>299</v>
      </c>
      <c r="D1078" s="62">
        <f t="shared" si="18"/>
        <v>284.05</v>
      </c>
    </row>
    <row r="1079" spans="2:4" x14ac:dyDescent="0.3">
      <c r="B1079" s="60" t="s">
        <v>764</v>
      </c>
      <c r="C1079" s="60">
        <v>249</v>
      </c>
      <c r="D1079" s="62">
        <f t="shared" si="18"/>
        <v>236.55</v>
      </c>
    </row>
    <row r="1080" spans="2:4" x14ac:dyDescent="0.3">
      <c r="B1080" s="60" t="s">
        <v>765</v>
      </c>
      <c r="C1080" s="60">
        <v>399</v>
      </c>
      <c r="D1080" s="62">
        <f t="shared" si="18"/>
        <v>379.05</v>
      </c>
    </row>
    <row r="1081" spans="2:4" x14ac:dyDescent="0.3">
      <c r="B1081" s="60" t="s">
        <v>766</v>
      </c>
      <c r="C1081" s="60">
        <v>349</v>
      </c>
      <c r="D1081" s="62">
        <f t="shared" si="18"/>
        <v>331.55</v>
      </c>
    </row>
    <row r="1082" spans="2:4" x14ac:dyDescent="0.3">
      <c r="B1082" s="60" t="s">
        <v>767</v>
      </c>
      <c r="C1082" s="60">
        <v>399</v>
      </c>
      <c r="D1082" s="62">
        <f t="shared" si="18"/>
        <v>379.05</v>
      </c>
    </row>
    <row r="1083" spans="2:4" x14ac:dyDescent="0.3">
      <c r="B1083" s="60" t="s">
        <v>768</v>
      </c>
      <c r="C1083" s="60">
        <v>449</v>
      </c>
      <c r="D1083" s="62">
        <f t="shared" si="18"/>
        <v>426.55</v>
      </c>
    </row>
    <row r="1084" spans="2:4" x14ac:dyDescent="0.3">
      <c r="B1084" s="60" t="s">
        <v>769</v>
      </c>
      <c r="C1084" s="60">
        <v>449</v>
      </c>
      <c r="D1084" s="62">
        <f t="shared" si="18"/>
        <v>426.55</v>
      </c>
    </row>
    <row r="1085" spans="2:4" x14ac:dyDescent="0.3">
      <c r="B1085" s="60" t="s">
        <v>770</v>
      </c>
      <c r="C1085" s="60">
        <v>599</v>
      </c>
      <c r="D1085" s="62">
        <f t="shared" si="18"/>
        <v>569.04999999999995</v>
      </c>
    </row>
    <row r="1086" spans="2:4" x14ac:dyDescent="0.3">
      <c r="B1086" s="60" t="s">
        <v>771</v>
      </c>
      <c r="C1086" s="60">
        <v>799</v>
      </c>
      <c r="D1086" s="62">
        <f t="shared" si="18"/>
        <v>759.05</v>
      </c>
    </row>
    <row r="1087" spans="2:4" x14ac:dyDescent="0.3">
      <c r="B1087" s="60" t="s">
        <v>772</v>
      </c>
      <c r="C1087" s="60">
        <v>849</v>
      </c>
      <c r="D1087" s="62">
        <f t="shared" si="18"/>
        <v>806.55</v>
      </c>
    </row>
    <row r="1088" spans="2:4" x14ac:dyDescent="0.3">
      <c r="B1088" s="60" t="s">
        <v>773</v>
      </c>
      <c r="C1088" s="60">
        <v>199</v>
      </c>
      <c r="D1088" s="62">
        <f t="shared" si="18"/>
        <v>189.05</v>
      </c>
    </row>
    <row r="1089" spans="2:4" x14ac:dyDescent="0.3">
      <c r="B1089" s="60" t="s">
        <v>774</v>
      </c>
      <c r="C1089" s="60">
        <v>299</v>
      </c>
      <c r="D1089" s="62">
        <f t="shared" si="18"/>
        <v>284.05</v>
      </c>
    </row>
    <row r="1090" spans="2:4" x14ac:dyDescent="0.3">
      <c r="B1090" s="60" t="s">
        <v>775</v>
      </c>
      <c r="C1090" s="60">
        <v>249</v>
      </c>
      <c r="D1090" s="62">
        <f t="shared" si="18"/>
        <v>236.55</v>
      </c>
    </row>
    <row r="1091" spans="2:4" x14ac:dyDescent="0.3">
      <c r="B1091" s="60" t="s">
        <v>776</v>
      </c>
      <c r="C1091" s="60">
        <v>199</v>
      </c>
      <c r="D1091" s="62">
        <f t="shared" si="18"/>
        <v>189.05</v>
      </c>
    </row>
    <row r="1092" spans="2:4" x14ac:dyDescent="0.3">
      <c r="B1092" s="60" t="s">
        <v>795</v>
      </c>
      <c r="C1092" s="60">
        <v>299</v>
      </c>
      <c r="D1092" s="62">
        <f t="shared" si="18"/>
        <v>284.05</v>
      </c>
    </row>
    <row r="1093" spans="2:4" x14ac:dyDescent="0.3">
      <c r="B1093" s="60" t="s">
        <v>796</v>
      </c>
      <c r="C1093" s="60">
        <v>299</v>
      </c>
      <c r="D1093" s="62">
        <f t="shared" si="18"/>
        <v>284.05</v>
      </c>
    </row>
    <row r="1094" spans="2:4" x14ac:dyDescent="0.3">
      <c r="B1094" s="60" t="s">
        <v>797</v>
      </c>
      <c r="C1094" s="60">
        <v>199</v>
      </c>
      <c r="D1094" s="62">
        <f t="shared" si="18"/>
        <v>189.05</v>
      </c>
    </row>
    <row r="1095" spans="2:4" x14ac:dyDescent="0.3">
      <c r="B1095" s="60" t="s">
        <v>798</v>
      </c>
      <c r="C1095" s="60">
        <v>249</v>
      </c>
      <c r="D1095" s="62">
        <f t="shared" si="18"/>
        <v>236.55</v>
      </c>
    </row>
    <row r="1096" spans="2:4" x14ac:dyDescent="0.3">
      <c r="B1096" s="60" t="s">
        <v>799</v>
      </c>
      <c r="C1096" s="60">
        <v>399</v>
      </c>
      <c r="D1096" s="62">
        <f t="shared" si="18"/>
        <v>379.05</v>
      </c>
    </row>
    <row r="1097" spans="2:4" x14ac:dyDescent="0.3">
      <c r="B1097" s="60" t="s">
        <v>800</v>
      </c>
      <c r="C1097" s="60">
        <v>199</v>
      </c>
      <c r="D1097" s="62">
        <f t="shared" si="18"/>
        <v>189.05</v>
      </c>
    </row>
    <row r="1098" spans="2:4" x14ac:dyDescent="0.3">
      <c r="B1098" s="60" t="s">
        <v>801</v>
      </c>
      <c r="C1098" s="60">
        <v>399</v>
      </c>
      <c r="D1098" s="62">
        <f t="shared" si="18"/>
        <v>379.05</v>
      </c>
    </row>
    <row r="1099" spans="2:4" x14ac:dyDescent="0.3">
      <c r="B1099" s="60" t="s">
        <v>802</v>
      </c>
      <c r="C1099" s="60">
        <v>399</v>
      </c>
      <c r="D1099" s="62">
        <f t="shared" si="18"/>
        <v>379.05</v>
      </c>
    </row>
    <row r="1100" spans="2:4" x14ac:dyDescent="0.3">
      <c r="B1100" s="60" t="s">
        <v>803</v>
      </c>
      <c r="C1100" s="60">
        <v>499</v>
      </c>
      <c r="D1100" s="62">
        <f t="shared" si="18"/>
        <v>474.05</v>
      </c>
    </row>
    <row r="1101" spans="2:4" x14ac:dyDescent="0.3">
      <c r="B1101" s="60" t="s">
        <v>804</v>
      </c>
      <c r="C1101" s="60">
        <v>799</v>
      </c>
      <c r="D1101" s="62">
        <f t="shared" si="18"/>
        <v>759.05</v>
      </c>
    </row>
    <row r="1102" spans="2:4" x14ac:dyDescent="0.3">
      <c r="B1102" s="60" t="s">
        <v>805</v>
      </c>
      <c r="C1102" s="60">
        <v>399</v>
      </c>
      <c r="D1102" s="62">
        <f t="shared" si="18"/>
        <v>379.05</v>
      </c>
    </row>
    <row r="1103" spans="2:4" x14ac:dyDescent="0.3">
      <c r="B1103" s="60" t="s">
        <v>806</v>
      </c>
      <c r="C1103" s="60">
        <v>149</v>
      </c>
      <c r="D1103" s="62">
        <f t="shared" si="18"/>
        <v>141.55000000000001</v>
      </c>
    </row>
    <row r="1104" spans="2:4" x14ac:dyDescent="0.3">
      <c r="B1104" s="60" t="s">
        <v>807</v>
      </c>
      <c r="C1104" s="60">
        <v>229</v>
      </c>
      <c r="D1104" s="62">
        <f t="shared" si="18"/>
        <v>217.55</v>
      </c>
    </row>
    <row r="1105" spans="2:4" x14ac:dyDescent="0.3">
      <c r="B1105" s="60" t="s">
        <v>808</v>
      </c>
      <c r="C1105" s="60">
        <v>169</v>
      </c>
      <c r="D1105" s="62">
        <f t="shared" si="18"/>
        <v>160.55000000000001</v>
      </c>
    </row>
    <row r="1106" spans="2:4" x14ac:dyDescent="0.3">
      <c r="B1106" s="60" t="s">
        <v>809</v>
      </c>
      <c r="C1106" s="60">
        <v>299</v>
      </c>
      <c r="D1106" s="62">
        <f t="shared" si="18"/>
        <v>284.05</v>
      </c>
    </row>
    <row r="1107" spans="2:4" x14ac:dyDescent="0.3">
      <c r="B1107" s="60" t="s">
        <v>810</v>
      </c>
      <c r="C1107" s="60">
        <v>799</v>
      </c>
      <c r="D1107" s="62">
        <f t="shared" si="18"/>
        <v>759.05</v>
      </c>
    </row>
    <row r="1108" spans="2:4" x14ac:dyDescent="0.3">
      <c r="B1108" s="60" t="s">
        <v>811</v>
      </c>
      <c r="C1108" s="60">
        <v>249</v>
      </c>
      <c r="D1108" s="62">
        <f t="shared" si="18"/>
        <v>236.55</v>
      </c>
    </row>
    <row r="1109" spans="2:4" x14ac:dyDescent="0.3">
      <c r="B1109" s="60" t="s">
        <v>812</v>
      </c>
      <c r="C1109" s="60">
        <v>399</v>
      </c>
      <c r="D1109" s="62">
        <f t="shared" si="18"/>
        <v>379.05</v>
      </c>
    </row>
    <row r="1110" spans="2:4" x14ac:dyDescent="0.3">
      <c r="B1110" s="60" t="s">
        <v>813</v>
      </c>
      <c r="C1110" s="60">
        <v>299</v>
      </c>
      <c r="D1110" s="62">
        <f t="shared" si="18"/>
        <v>284.05</v>
      </c>
    </row>
    <row r="1111" spans="2:4" x14ac:dyDescent="0.3">
      <c r="B1111" s="60" t="s">
        <v>814</v>
      </c>
      <c r="C1111" s="60">
        <v>229</v>
      </c>
      <c r="D1111" s="62">
        <f t="shared" si="18"/>
        <v>217.55</v>
      </c>
    </row>
    <row r="1112" spans="2:4" x14ac:dyDescent="0.3">
      <c r="B1112" s="60" t="s">
        <v>815</v>
      </c>
      <c r="C1112" s="60">
        <v>349</v>
      </c>
      <c r="D1112" s="62">
        <f t="shared" si="18"/>
        <v>331.55</v>
      </c>
    </row>
    <row r="1113" spans="2:4" x14ac:dyDescent="0.3">
      <c r="B1113" s="60" t="s">
        <v>816</v>
      </c>
      <c r="C1113" s="60">
        <v>99</v>
      </c>
      <c r="D1113" s="62">
        <f t="shared" si="18"/>
        <v>94.05</v>
      </c>
    </row>
    <row r="1114" spans="2:4" x14ac:dyDescent="0.3">
      <c r="B1114" s="60" t="s">
        <v>817</v>
      </c>
      <c r="C1114" s="60">
        <v>299</v>
      </c>
      <c r="D1114" s="62">
        <f t="shared" si="18"/>
        <v>284.05</v>
      </c>
    </row>
    <row r="1115" spans="2:4" x14ac:dyDescent="0.3">
      <c r="B1115" s="60" t="s">
        <v>818</v>
      </c>
      <c r="C1115" s="60">
        <v>199</v>
      </c>
      <c r="D1115" s="62">
        <f t="shared" si="18"/>
        <v>189.05</v>
      </c>
    </row>
    <row r="1116" spans="2:4" x14ac:dyDescent="0.3">
      <c r="B1116" s="60" t="s">
        <v>819</v>
      </c>
      <c r="C1116" s="60">
        <v>399</v>
      </c>
      <c r="D1116" s="62">
        <f t="shared" si="18"/>
        <v>379.05</v>
      </c>
    </row>
    <row r="1117" spans="2:4" x14ac:dyDescent="0.3">
      <c r="B1117" s="60" t="s">
        <v>820</v>
      </c>
      <c r="C1117" s="60">
        <v>149</v>
      </c>
      <c r="D1117" s="62">
        <f t="shared" si="18"/>
        <v>141.55000000000001</v>
      </c>
    </row>
    <row r="1118" spans="2:4" x14ac:dyDescent="0.3">
      <c r="B1118" s="60" t="s">
        <v>821</v>
      </c>
      <c r="C1118" s="60">
        <v>299</v>
      </c>
      <c r="D1118" s="62">
        <f t="shared" si="18"/>
        <v>284.05</v>
      </c>
    </row>
    <row r="1119" spans="2:4" x14ac:dyDescent="0.3">
      <c r="B1119" s="60" t="s">
        <v>822</v>
      </c>
      <c r="C1119" s="60">
        <v>299</v>
      </c>
      <c r="D1119" s="62">
        <f t="shared" si="18"/>
        <v>284.05</v>
      </c>
    </row>
    <row r="1120" spans="2:4" x14ac:dyDescent="0.3">
      <c r="B1120" s="60" t="s">
        <v>823</v>
      </c>
      <c r="C1120" s="60">
        <v>249</v>
      </c>
      <c r="D1120" s="62">
        <f t="shared" si="18"/>
        <v>236.55</v>
      </c>
    </row>
    <row r="1121" spans="2:4" x14ac:dyDescent="0.3">
      <c r="B1121" s="60" t="s">
        <v>824</v>
      </c>
      <c r="C1121" s="60">
        <v>299</v>
      </c>
      <c r="D1121" s="62">
        <f t="shared" si="18"/>
        <v>284.05</v>
      </c>
    </row>
    <row r="1122" spans="2:4" x14ac:dyDescent="0.3">
      <c r="B1122" s="60" t="s">
        <v>825</v>
      </c>
      <c r="C1122" s="60">
        <v>299</v>
      </c>
      <c r="D1122" s="62">
        <f t="shared" si="18"/>
        <v>284.05</v>
      </c>
    </row>
    <row r="1123" spans="2:4" x14ac:dyDescent="0.3">
      <c r="B1123" s="60" t="s">
        <v>826</v>
      </c>
      <c r="C1123" s="60">
        <v>499</v>
      </c>
      <c r="D1123" s="62">
        <f t="shared" si="18"/>
        <v>474.05</v>
      </c>
    </row>
    <row r="1124" spans="2:4" x14ac:dyDescent="0.3">
      <c r="B1124" s="60" t="s">
        <v>827</v>
      </c>
      <c r="C1124" s="60">
        <v>399</v>
      </c>
      <c r="D1124" s="62">
        <f t="shared" si="18"/>
        <v>379.05</v>
      </c>
    </row>
    <row r="1125" spans="2:4" x14ac:dyDescent="0.3">
      <c r="B1125" s="60" t="s">
        <v>828</v>
      </c>
      <c r="C1125" s="60">
        <v>429</v>
      </c>
      <c r="D1125" s="62">
        <f t="shared" si="18"/>
        <v>407.55</v>
      </c>
    </row>
    <row r="1126" spans="2:4" x14ac:dyDescent="0.3">
      <c r="B1126" s="60" t="s">
        <v>829</v>
      </c>
      <c r="C1126" s="60">
        <v>499</v>
      </c>
      <c r="D1126" s="62">
        <f t="shared" si="18"/>
        <v>474.05</v>
      </c>
    </row>
    <row r="1127" spans="2:4" x14ac:dyDescent="0.3">
      <c r="B1127" s="60" t="s">
        <v>830</v>
      </c>
      <c r="C1127" s="60">
        <v>549</v>
      </c>
      <c r="D1127" s="62">
        <f t="shared" si="18"/>
        <v>521.54999999999995</v>
      </c>
    </row>
    <row r="1128" spans="2:4" x14ac:dyDescent="0.3">
      <c r="B1128" s="60" t="s">
        <v>831</v>
      </c>
      <c r="C1128" s="60">
        <v>599</v>
      </c>
      <c r="D1128" s="62">
        <f t="shared" si="18"/>
        <v>569.04999999999995</v>
      </c>
    </row>
    <row r="1129" spans="2:4" x14ac:dyDescent="0.3">
      <c r="B1129" s="60" t="s">
        <v>832</v>
      </c>
      <c r="C1129" s="60">
        <v>249</v>
      </c>
      <c r="D1129" s="62">
        <f t="shared" si="18"/>
        <v>236.55</v>
      </c>
    </row>
    <row r="1130" spans="2:4" x14ac:dyDescent="0.3">
      <c r="B1130" s="60" t="s">
        <v>833</v>
      </c>
      <c r="C1130" s="60">
        <v>299</v>
      </c>
      <c r="D1130" s="62">
        <f t="shared" si="18"/>
        <v>284.05</v>
      </c>
    </row>
    <row r="1131" spans="2:4" x14ac:dyDescent="0.3">
      <c r="B1131" s="60" t="s">
        <v>834</v>
      </c>
      <c r="C1131" s="60">
        <v>249</v>
      </c>
      <c r="D1131" s="62">
        <f t="shared" si="18"/>
        <v>236.55</v>
      </c>
    </row>
    <row r="1132" spans="2:4" x14ac:dyDescent="0.3">
      <c r="B1132" s="60" t="s">
        <v>835</v>
      </c>
      <c r="C1132" s="60">
        <v>699</v>
      </c>
      <c r="D1132" s="62">
        <f t="shared" si="18"/>
        <v>664.05</v>
      </c>
    </row>
    <row r="1133" spans="2:4" x14ac:dyDescent="0.3">
      <c r="B1133" s="60" t="s">
        <v>836</v>
      </c>
      <c r="C1133" s="60">
        <v>499</v>
      </c>
      <c r="D1133" s="62">
        <f t="shared" si="18"/>
        <v>474.05</v>
      </c>
    </row>
    <row r="1134" spans="2:4" x14ac:dyDescent="0.3">
      <c r="B1134" s="60" t="s">
        <v>837</v>
      </c>
      <c r="C1134" s="60">
        <v>299</v>
      </c>
      <c r="D1134" s="62">
        <f t="shared" ref="D1134:D1197" si="19">C1134-(C1134*(5/100))</f>
        <v>284.05</v>
      </c>
    </row>
    <row r="1135" spans="2:4" x14ac:dyDescent="0.3">
      <c r="B1135" s="60" t="s">
        <v>838</v>
      </c>
      <c r="C1135" s="60">
        <v>349</v>
      </c>
      <c r="D1135" s="62">
        <f t="shared" si="19"/>
        <v>331.55</v>
      </c>
    </row>
    <row r="1136" spans="2:4" x14ac:dyDescent="0.3">
      <c r="B1136" s="60" t="s">
        <v>839</v>
      </c>
      <c r="C1136" s="60">
        <v>249</v>
      </c>
      <c r="D1136" s="62">
        <f t="shared" si="19"/>
        <v>236.55</v>
      </c>
    </row>
    <row r="1137" spans="2:4" x14ac:dyDescent="0.3">
      <c r="B1137" s="60" t="s">
        <v>840</v>
      </c>
      <c r="C1137" s="60">
        <v>599</v>
      </c>
      <c r="D1137" s="62">
        <f t="shared" si="19"/>
        <v>569.04999999999995</v>
      </c>
    </row>
    <row r="1138" spans="2:4" x14ac:dyDescent="0.3">
      <c r="B1138" s="60" t="s">
        <v>841</v>
      </c>
      <c r="C1138" s="60">
        <v>399</v>
      </c>
      <c r="D1138" s="62">
        <f t="shared" si="19"/>
        <v>379.05</v>
      </c>
    </row>
    <row r="1139" spans="2:4" x14ac:dyDescent="0.3">
      <c r="B1139" s="60" t="s">
        <v>842</v>
      </c>
      <c r="C1139" s="60">
        <v>99</v>
      </c>
      <c r="D1139" s="62">
        <f t="shared" si="19"/>
        <v>94.05</v>
      </c>
    </row>
    <row r="1140" spans="2:4" x14ac:dyDescent="0.3">
      <c r="B1140" s="60" t="s">
        <v>843</v>
      </c>
      <c r="C1140" s="60">
        <v>249</v>
      </c>
      <c r="D1140" s="62">
        <f t="shared" si="19"/>
        <v>236.55</v>
      </c>
    </row>
    <row r="1141" spans="2:4" x14ac:dyDescent="0.3">
      <c r="B1141" s="60" t="s">
        <v>844</v>
      </c>
      <c r="C1141" s="60">
        <v>299</v>
      </c>
      <c r="D1141" s="62">
        <f t="shared" si="19"/>
        <v>284.05</v>
      </c>
    </row>
    <row r="1142" spans="2:4" x14ac:dyDescent="0.3">
      <c r="B1142" s="60" t="s">
        <v>845</v>
      </c>
      <c r="C1142" s="60">
        <v>299</v>
      </c>
      <c r="D1142" s="62">
        <f t="shared" si="19"/>
        <v>284.05</v>
      </c>
    </row>
    <row r="1143" spans="2:4" x14ac:dyDescent="0.3">
      <c r="B1143" s="60" t="s">
        <v>846</v>
      </c>
      <c r="C1143" s="60">
        <v>499</v>
      </c>
      <c r="D1143" s="62">
        <f t="shared" si="19"/>
        <v>474.05</v>
      </c>
    </row>
    <row r="1144" spans="2:4" x14ac:dyDescent="0.3">
      <c r="B1144" s="60" t="s">
        <v>847</v>
      </c>
      <c r="C1144" s="60">
        <v>249</v>
      </c>
      <c r="D1144" s="62">
        <f t="shared" si="19"/>
        <v>236.55</v>
      </c>
    </row>
    <row r="1145" spans="2:4" x14ac:dyDescent="0.3">
      <c r="B1145" s="60" t="s">
        <v>848</v>
      </c>
      <c r="C1145" s="60">
        <v>299</v>
      </c>
      <c r="D1145" s="62">
        <f t="shared" si="19"/>
        <v>284.05</v>
      </c>
    </row>
    <row r="1146" spans="2:4" x14ac:dyDescent="0.3">
      <c r="B1146" s="60" t="s">
        <v>849</v>
      </c>
      <c r="C1146" s="60">
        <v>249</v>
      </c>
      <c r="D1146" s="62">
        <f t="shared" si="19"/>
        <v>236.55</v>
      </c>
    </row>
    <row r="1147" spans="2:4" x14ac:dyDescent="0.3">
      <c r="B1147" s="60" t="s">
        <v>850</v>
      </c>
      <c r="C1147" s="60">
        <v>399</v>
      </c>
      <c r="D1147" s="62">
        <f t="shared" si="19"/>
        <v>379.05</v>
      </c>
    </row>
    <row r="1148" spans="2:4" x14ac:dyDescent="0.3">
      <c r="B1148" s="60" t="s">
        <v>851</v>
      </c>
      <c r="C1148" s="60">
        <v>599</v>
      </c>
      <c r="D1148" s="62">
        <f t="shared" si="19"/>
        <v>569.04999999999995</v>
      </c>
    </row>
    <row r="1149" spans="2:4" x14ac:dyDescent="0.3">
      <c r="B1149" s="60" t="s">
        <v>852</v>
      </c>
      <c r="C1149" s="60">
        <v>599</v>
      </c>
      <c r="D1149" s="62">
        <f t="shared" si="19"/>
        <v>569.04999999999995</v>
      </c>
    </row>
    <row r="1150" spans="2:4" x14ac:dyDescent="0.3">
      <c r="B1150" s="60" t="s">
        <v>853</v>
      </c>
      <c r="C1150" s="60">
        <v>499</v>
      </c>
      <c r="D1150" s="62">
        <f t="shared" si="19"/>
        <v>474.05</v>
      </c>
    </row>
    <row r="1151" spans="2:4" x14ac:dyDescent="0.3">
      <c r="B1151" s="60" t="s">
        <v>854</v>
      </c>
      <c r="C1151" s="60">
        <v>499</v>
      </c>
      <c r="D1151" s="62">
        <f t="shared" si="19"/>
        <v>474.05</v>
      </c>
    </row>
    <row r="1152" spans="2:4" x14ac:dyDescent="0.3">
      <c r="B1152" s="60" t="s">
        <v>855</v>
      </c>
      <c r="C1152" s="60">
        <v>599</v>
      </c>
      <c r="D1152" s="62">
        <f t="shared" si="19"/>
        <v>569.04999999999995</v>
      </c>
    </row>
    <row r="1153" spans="2:4" x14ac:dyDescent="0.3">
      <c r="B1153" s="60" t="s">
        <v>856</v>
      </c>
      <c r="C1153" s="60">
        <v>799</v>
      </c>
      <c r="D1153" s="62">
        <f t="shared" si="19"/>
        <v>759.05</v>
      </c>
    </row>
    <row r="1154" spans="2:4" x14ac:dyDescent="0.3">
      <c r="B1154" s="60" t="s">
        <v>857</v>
      </c>
      <c r="C1154" s="60">
        <v>599</v>
      </c>
      <c r="D1154" s="62">
        <f t="shared" si="19"/>
        <v>569.04999999999995</v>
      </c>
    </row>
    <row r="1155" spans="2:4" x14ac:dyDescent="0.3">
      <c r="B1155" s="60" t="s">
        <v>858</v>
      </c>
      <c r="C1155" s="60">
        <v>499</v>
      </c>
      <c r="D1155" s="62">
        <f t="shared" si="19"/>
        <v>474.05</v>
      </c>
    </row>
    <row r="1156" spans="2:4" x14ac:dyDescent="0.3">
      <c r="B1156" s="60" t="s">
        <v>859</v>
      </c>
      <c r="C1156" s="60">
        <v>399</v>
      </c>
      <c r="D1156" s="62">
        <f t="shared" si="19"/>
        <v>379.05</v>
      </c>
    </row>
    <row r="1157" spans="2:4" x14ac:dyDescent="0.3">
      <c r="B1157" s="60" t="s">
        <v>860</v>
      </c>
      <c r="C1157" s="60">
        <v>399</v>
      </c>
      <c r="D1157" s="62">
        <f t="shared" si="19"/>
        <v>379.05</v>
      </c>
    </row>
    <row r="1158" spans="2:4" x14ac:dyDescent="0.3">
      <c r="B1158" s="60" t="s">
        <v>861</v>
      </c>
      <c r="C1158" s="60">
        <v>299</v>
      </c>
      <c r="D1158" s="62">
        <f t="shared" si="19"/>
        <v>284.05</v>
      </c>
    </row>
    <row r="1159" spans="2:4" x14ac:dyDescent="0.3">
      <c r="B1159" s="60" t="s">
        <v>862</v>
      </c>
      <c r="C1159" s="60">
        <v>399</v>
      </c>
      <c r="D1159" s="62">
        <f t="shared" si="19"/>
        <v>379.05</v>
      </c>
    </row>
    <row r="1160" spans="2:4" x14ac:dyDescent="0.3">
      <c r="B1160" s="60" t="s">
        <v>863</v>
      </c>
      <c r="C1160" s="60">
        <v>199</v>
      </c>
      <c r="D1160" s="62">
        <f t="shared" si="19"/>
        <v>189.05</v>
      </c>
    </row>
    <row r="1161" spans="2:4" x14ac:dyDescent="0.3">
      <c r="B1161" s="60" t="s">
        <v>864</v>
      </c>
      <c r="C1161" s="60">
        <v>399</v>
      </c>
      <c r="D1161" s="62">
        <f t="shared" si="19"/>
        <v>379.05</v>
      </c>
    </row>
    <row r="1162" spans="2:4" x14ac:dyDescent="0.3">
      <c r="B1162" s="60" t="s">
        <v>865</v>
      </c>
      <c r="C1162" s="60">
        <v>399</v>
      </c>
      <c r="D1162" s="62">
        <f t="shared" si="19"/>
        <v>379.05</v>
      </c>
    </row>
    <row r="1163" spans="2:4" x14ac:dyDescent="0.3">
      <c r="B1163" s="60" t="s">
        <v>866</v>
      </c>
      <c r="C1163" s="60">
        <v>399</v>
      </c>
      <c r="D1163" s="62">
        <f t="shared" si="19"/>
        <v>379.05</v>
      </c>
    </row>
    <row r="1164" spans="2:4" x14ac:dyDescent="0.3">
      <c r="B1164" s="60" t="s">
        <v>867</v>
      </c>
      <c r="C1164" s="60">
        <v>599</v>
      </c>
      <c r="D1164" s="62">
        <f t="shared" si="19"/>
        <v>569.04999999999995</v>
      </c>
    </row>
    <row r="1165" spans="2:4" x14ac:dyDescent="0.3">
      <c r="B1165" s="60" t="s">
        <v>868</v>
      </c>
      <c r="C1165" s="60">
        <v>299</v>
      </c>
      <c r="D1165" s="62">
        <f t="shared" si="19"/>
        <v>284.05</v>
      </c>
    </row>
    <row r="1166" spans="2:4" x14ac:dyDescent="0.3">
      <c r="B1166" s="60" t="s">
        <v>869</v>
      </c>
      <c r="C1166" s="60">
        <v>599</v>
      </c>
      <c r="D1166" s="62">
        <f t="shared" si="19"/>
        <v>569.04999999999995</v>
      </c>
    </row>
    <row r="1167" spans="2:4" x14ac:dyDescent="0.3">
      <c r="B1167" s="60" t="s">
        <v>870</v>
      </c>
      <c r="C1167" s="60">
        <v>499</v>
      </c>
      <c r="D1167" s="62">
        <f t="shared" si="19"/>
        <v>474.05</v>
      </c>
    </row>
    <row r="1168" spans="2:4" x14ac:dyDescent="0.3">
      <c r="B1168" s="60" t="s">
        <v>871</v>
      </c>
      <c r="C1168" s="60">
        <v>399</v>
      </c>
      <c r="D1168" s="62">
        <f t="shared" si="19"/>
        <v>379.05</v>
      </c>
    </row>
    <row r="1169" spans="2:4" x14ac:dyDescent="0.3">
      <c r="B1169" s="60" t="s">
        <v>872</v>
      </c>
      <c r="C1169" s="60">
        <v>399</v>
      </c>
      <c r="D1169" s="62">
        <f t="shared" si="19"/>
        <v>379.05</v>
      </c>
    </row>
    <row r="1170" spans="2:4" x14ac:dyDescent="0.3">
      <c r="B1170" s="60" t="s">
        <v>873</v>
      </c>
      <c r="C1170" s="60">
        <v>399</v>
      </c>
      <c r="D1170" s="62">
        <f t="shared" si="19"/>
        <v>379.05</v>
      </c>
    </row>
    <row r="1171" spans="2:4" x14ac:dyDescent="0.3">
      <c r="B1171" s="60" t="s">
        <v>874</v>
      </c>
      <c r="C1171" s="60">
        <v>249</v>
      </c>
      <c r="D1171" s="62">
        <f t="shared" si="19"/>
        <v>236.55</v>
      </c>
    </row>
    <row r="1172" spans="2:4" x14ac:dyDescent="0.3">
      <c r="B1172" s="60" t="s">
        <v>875</v>
      </c>
      <c r="C1172" s="60">
        <v>499</v>
      </c>
      <c r="D1172" s="62">
        <f t="shared" si="19"/>
        <v>474.05</v>
      </c>
    </row>
    <row r="1173" spans="2:4" x14ac:dyDescent="0.3">
      <c r="B1173" s="60" t="s">
        <v>876</v>
      </c>
      <c r="C1173" s="60">
        <v>599</v>
      </c>
      <c r="D1173" s="62">
        <f t="shared" si="19"/>
        <v>569.04999999999995</v>
      </c>
    </row>
    <row r="1174" spans="2:4" x14ac:dyDescent="0.3">
      <c r="B1174" s="60" t="s">
        <v>877</v>
      </c>
      <c r="C1174" s="60">
        <v>799</v>
      </c>
      <c r="D1174" s="62">
        <f t="shared" si="19"/>
        <v>759.05</v>
      </c>
    </row>
    <row r="1175" spans="2:4" x14ac:dyDescent="0.3">
      <c r="B1175" s="60" t="s">
        <v>878</v>
      </c>
      <c r="C1175" s="60">
        <v>599</v>
      </c>
      <c r="D1175" s="62">
        <f t="shared" si="19"/>
        <v>569.04999999999995</v>
      </c>
    </row>
    <row r="1176" spans="2:4" x14ac:dyDescent="0.3">
      <c r="B1176" s="60" t="s">
        <v>879</v>
      </c>
      <c r="C1176" s="60">
        <v>399</v>
      </c>
      <c r="D1176" s="62">
        <f t="shared" si="19"/>
        <v>379.05</v>
      </c>
    </row>
    <row r="1177" spans="2:4" x14ac:dyDescent="0.3">
      <c r="B1177" s="60" t="s">
        <v>880</v>
      </c>
      <c r="C1177" s="60">
        <v>499</v>
      </c>
      <c r="D1177" s="62">
        <f t="shared" si="19"/>
        <v>474.05</v>
      </c>
    </row>
    <row r="1178" spans="2:4" x14ac:dyDescent="0.3">
      <c r="B1178" s="60" t="s">
        <v>881</v>
      </c>
      <c r="C1178" s="60">
        <v>599</v>
      </c>
      <c r="D1178" s="62">
        <f t="shared" si="19"/>
        <v>569.04999999999995</v>
      </c>
    </row>
    <row r="1179" spans="2:4" x14ac:dyDescent="0.3">
      <c r="B1179" s="60" t="s">
        <v>882</v>
      </c>
      <c r="C1179" s="60">
        <v>249</v>
      </c>
      <c r="D1179" s="62">
        <f t="shared" si="19"/>
        <v>236.55</v>
      </c>
    </row>
    <row r="1180" spans="2:4" x14ac:dyDescent="0.3">
      <c r="B1180" s="60" t="s">
        <v>883</v>
      </c>
      <c r="C1180" s="60">
        <v>299</v>
      </c>
      <c r="D1180" s="62">
        <f t="shared" si="19"/>
        <v>284.05</v>
      </c>
    </row>
    <row r="1181" spans="2:4" x14ac:dyDescent="0.3">
      <c r="B1181" s="60" t="s">
        <v>884</v>
      </c>
      <c r="C1181" s="60">
        <v>299</v>
      </c>
      <c r="D1181" s="62">
        <f t="shared" si="19"/>
        <v>284.05</v>
      </c>
    </row>
    <row r="1182" spans="2:4" x14ac:dyDescent="0.3">
      <c r="B1182" s="60" t="s">
        <v>885</v>
      </c>
      <c r="C1182" s="60">
        <v>229</v>
      </c>
      <c r="D1182" s="62">
        <f t="shared" si="19"/>
        <v>217.55</v>
      </c>
    </row>
    <row r="1183" spans="2:4" x14ac:dyDescent="0.3">
      <c r="B1183" s="60" t="s">
        <v>886</v>
      </c>
      <c r="C1183" s="60">
        <v>699</v>
      </c>
      <c r="D1183" s="62">
        <f t="shared" si="19"/>
        <v>664.05</v>
      </c>
    </row>
    <row r="1184" spans="2:4" x14ac:dyDescent="0.3">
      <c r="B1184" s="60" t="s">
        <v>887</v>
      </c>
      <c r="C1184" s="60">
        <v>799</v>
      </c>
      <c r="D1184" s="62">
        <f t="shared" si="19"/>
        <v>759.05</v>
      </c>
    </row>
    <row r="1185" spans="2:4" x14ac:dyDescent="0.3">
      <c r="B1185" s="60" t="s">
        <v>888</v>
      </c>
      <c r="C1185" s="60">
        <v>299</v>
      </c>
      <c r="D1185" s="62">
        <f t="shared" si="19"/>
        <v>284.05</v>
      </c>
    </row>
    <row r="1186" spans="2:4" x14ac:dyDescent="0.3">
      <c r="B1186" s="60" t="s">
        <v>889</v>
      </c>
      <c r="C1186" s="60">
        <v>199</v>
      </c>
      <c r="D1186" s="62">
        <f t="shared" si="19"/>
        <v>189.05</v>
      </c>
    </row>
    <row r="1187" spans="2:4" x14ac:dyDescent="0.3">
      <c r="B1187" s="60" t="s">
        <v>890</v>
      </c>
      <c r="C1187" s="60">
        <v>299</v>
      </c>
      <c r="D1187" s="62">
        <f t="shared" si="19"/>
        <v>284.05</v>
      </c>
    </row>
    <row r="1188" spans="2:4" x14ac:dyDescent="0.3">
      <c r="B1188" s="60" t="s">
        <v>891</v>
      </c>
      <c r="C1188" s="60">
        <v>499</v>
      </c>
      <c r="D1188" s="62">
        <f t="shared" si="19"/>
        <v>474.05</v>
      </c>
    </row>
    <row r="1189" spans="2:4" x14ac:dyDescent="0.3">
      <c r="B1189" s="60" t="s">
        <v>892</v>
      </c>
      <c r="C1189" s="60">
        <v>399</v>
      </c>
      <c r="D1189" s="62">
        <f t="shared" si="19"/>
        <v>379.05</v>
      </c>
    </row>
    <row r="1190" spans="2:4" x14ac:dyDescent="0.3">
      <c r="B1190" s="60" t="s">
        <v>893</v>
      </c>
      <c r="C1190" s="60">
        <v>299</v>
      </c>
      <c r="D1190" s="62">
        <f t="shared" si="19"/>
        <v>284.05</v>
      </c>
    </row>
    <row r="1191" spans="2:4" x14ac:dyDescent="0.3">
      <c r="B1191" s="60" t="s">
        <v>894</v>
      </c>
      <c r="C1191" s="60">
        <v>199</v>
      </c>
      <c r="D1191" s="62">
        <f t="shared" si="19"/>
        <v>189.05</v>
      </c>
    </row>
    <row r="1192" spans="2:4" x14ac:dyDescent="0.3">
      <c r="B1192" s="60" t="s">
        <v>895</v>
      </c>
      <c r="C1192" s="60">
        <v>299</v>
      </c>
      <c r="D1192" s="62">
        <f t="shared" si="19"/>
        <v>284.05</v>
      </c>
    </row>
    <row r="1193" spans="2:4" x14ac:dyDescent="0.3">
      <c r="B1193" s="60" t="s">
        <v>896</v>
      </c>
      <c r="C1193" s="60">
        <v>299</v>
      </c>
      <c r="D1193" s="62">
        <f t="shared" si="19"/>
        <v>284.05</v>
      </c>
    </row>
    <row r="1194" spans="2:4" x14ac:dyDescent="0.3">
      <c r="B1194" s="60" t="s">
        <v>897</v>
      </c>
      <c r="C1194" s="60">
        <v>299</v>
      </c>
      <c r="D1194" s="62">
        <f t="shared" si="19"/>
        <v>284.05</v>
      </c>
    </row>
    <row r="1195" spans="2:4" x14ac:dyDescent="0.3">
      <c r="B1195" s="60" t="s">
        <v>898</v>
      </c>
      <c r="C1195" s="60">
        <v>249</v>
      </c>
      <c r="D1195" s="62">
        <f t="shared" si="19"/>
        <v>236.55</v>
      </c>
    </row>
    <row r="1196" spans="2:4" x14ac:dyDescent="0.3">
      <c r="B1196" s="60" t="s">
        <v>899</v>
      </c>
      <c r="C1196" s="60">
        <v>149</v>
      </c>
      <c r="D1196" s="62">
        <f t="shared" si="19"/>
        <v>141.55000000000001</v>
      </c>
    </row>
    <row r="1197" spans="2:4" x14ac:dyDescent="0.3">
      <c r="B1197" s="60" t="s">
        <v>900</v>
      </c>
      <c r="C1197" s="60">
        <v>249</v>
      </c>
      <c r="D1197" s="62">
        <f t="shared" si="19"/>
        <v>236.55</v>
      </c>
    </row>
    <row r="1198" spans="2:4" x14ac:dyDescent="0.3">
      <c r="B1198" s="60" t="s">
        <v>901</v>
      </c>
      <c r="C1198" s="60">
        <v>299</v>
      </c>
      <c r="D1198" s="62">
        <f t="shared" ref="D1198:D1261" si="20">C1198-(C1198*(5/100))</f>
        <v>284.05</v>
      </c>
    </row>
    <row r="1199" spans="2:4" x14ac:dyDescent="0.3">
      <c r="B1199" s="60" t="s">
        <v>902</v>
      </c>
      <c r="C1199" s="60">
        <v>299</v>
      </c>
      <c r="D1199" s="62">
        <f t="shared" si="20"/>
        <v>284.05</v>
      </c>
    </row>
    <row r="1200" spans="2:4" x14ac:dyDescent="0.3">
      <c r="B1200" s="60" t="s">
        <v>903</v>
      </c>
      <c r="C1200" s="60">
        <v>199</v>
      </c>
      <c r="D1200" s="62">
        <f t="shared" si="20"/>
        <v>189.05</v>
      </c>
    </row>
    <row r="1201" spans="2:4" x14ac:dyDescent="0.3">
      <c r="B1201" s="60" t="s">
        <v>904</v>
      </c>
      <c r="C1201" s="60">
        <v>249</v>
      </c>
      <c r="D1201" s="62">
        <f t="shared" si="20"/>
        <v>236.55</v>
      </c>
    </row>
    <row r="1202" spans="2:4" x14ac:dyDescent="0.3">
      <c r="B1202" s="60" t="s">
        <v>905</v>
      </c>
      <c r="C1202" s="60">
        <v>399</v>
      </c>
      <c r="D1202" s="62">
        <f t="shared" si="20"/>
        <v>379.05</v>
      </c>
    </row>
    <row r="1203" spans="2:4" x14ac:dyDescent="0.3">
      <c r="B1203" s="60" t="s">
        <v>906</v>
      </c>
      <c r="C1203" s="60">
        <v>249</v>
      </c>
      <c r="D1203" s="62">
        <f t="shared" si="20"/>
        <v>236.55</v>
      </c>
    </row>
    <row r="1204" spans="2:4" x14ac:dyDescent="0.3">
      <c r="B1204" s="60" t="s">
        <v>907</v>
      </c>
      <c r="C1204" s="60">
        <v>99</v>
      </c>
      <c r="D1204" s="62">
        <f t="shared" si="20"/>
        <v>94.05</v>
      </c>
    </row>
    <row r="1205" spans="2:4" x14ac:dyDescent="0.3">
      <c r="B1205" s="60" t="s">
        <v>908</v>
      </c>
      <c r="C1205" s="60">
        <v>99</v>
      </c>
      <c r="D1205" s="62">
        <f t="shared" si="20"/>
        <v>94.05</v>
      </c>
    </row>
    <row r="1206" spans="2:4" x14ac:dyDescent="0.3">
      <c r="B1206" s="60" t="s">
        <v>909</v>
      </c>
      <c r="C1206" s="60">
        <v>149</v>
      </c>
      <c r="D1206" s="62">
        <f t="shared" si="20"/>
        <v>141.55000000000001</v>
      </c>
    </row>
    <row r="1207" spans="2:4" x14ac:dyDescent="0.3">
      <c r="B1207" s="60" t="s">
        <v>910</v>
      </c>
      <c r="C1207" s="60">
        <v>249</v>
      </c>
      <c r="D1207" s="62">
        <f t="shared" si="20"/>
        <v>236.55</v>
      </c>
    </row>
    <row r="1208" spans="2:4" x14ac:dyDescent="0.3">
      <c r="B1208" s="60" t="s">
        <v>911</v>
      </c>
      <c r="C1208" s="60">
        <v>199</v>
      </c>
      <c r="D1208" s="62">
        <f t="shared" si="20"/>
        <v>189.05</v>
      </c>
    </row>
    <row r="1209" spans="2:4" x14ac:dyDescent="0.3">
      <c r="B1209" s="60" t="s">
        <v>912</v>
      </c>
      <c r="C1209" s="60">
        <v>199</v>
      </c>
      <c r="D1209" s="62">
        <f t="shared" si="20"/>
        <v>189.05</v>
      </c>
    </row>
    <row r="1210" spans="2:4" x14ac:dyDescent="0.3">
      <c r="B1210" s="60" t="s">
        <v>913</v>
      </c>
      <c r="C1210" s="60">
        <v>299</v>
      </c>
      <c r="D1210" s="62">
        <f t="shared" si="20"/>
        <v>284.05</v>
      </c>
    </row>
    <row r="1211" spans="2:4" x14ac:dyDescent="0.3">
      <c r="B1211" s="60" t="s">
        <v>914</v>
      </c>
      <c r="C1211" s="60">
        <v>199</v>
      </c>
      <c r="D1211" s="62">
        <f t="shared" si="20"/>
        <v>189.05</v>
      </c>
    </row>
    <row r="1212" spans="2:4" x14ac:dyDescent="0.3">
      <c r="B1212" s="60" t="s">
        <v>915</v>
      </c>
      <c r="C1212" s="60">
        <v>399</v>
      </c>
      <c r="D1212" s="62">
        <f t="shared" si="20"/>
        <v>379.05</v>
      </c>
    </row>
    <row r="1213" spans="2:4" x14ac:dyDescent="0.3">
      <c r="B1213" s="60" t="s">
        <v>916</v>
      </c>
      <c r="C1213" s="60">
        <v>299</v>
      </c>
      <c r="D1213" s="62">
        <f t="shared" si="20"/>
        <v>284.05</v>
      </c>
    </row>
    <row r="1214" spans="2:4" x14ac:dyDescent="0.3">
      <c r="B1214" s="60" t="s">
        <v>917</v>
      </c>
      <c r="C1214" s="60">
        <v>249</v>
      </c>
      <c r="D1214" s="62">
        <f t="shared" si="20"/>
        <v>236.55</v>
      </c>
    </row>
    <row r="1215" spans="2:4" x14ac:dyDescent="0.3">
      <c r="B1215" s="60" t="s">
        <v>918</v>
      </c>
      <c r="C1215" s="60">
        <v>249</v>
      </c>
      <c r="D1215" s="62">
        <f t="shared" si="20"/>
        <v>236.55</v>
      </c>
    </row>
    <row r="1216" spans="2:4" x14ac:dyDescent="0.3">
      <c r="B1216" s="60" t="s">
        <v>919</v>
      </c>
      <c r="C1216" s="60">
        <v>349</v>
      </c>
      <c r="D1216" s="62">
        <f t="shared" si="20"/>
        <v>331.55</v>
      </c>
    </row>
    <row r="1217" spans="2:4" x14ac:dyDescent="0.3">
      <c r="B1217" s="60" t="s">
        <v>920</v>
      </c>
      <c r="C1217" s="60">
        <v>249</v>
      </c>
      <c r="D1217" s="62">
        <f t="shared" si="20"/>
        <v>236.55</v>
      </c>
    </row>
    <row r="1218" spans="2:4" x14ac:dyDescent="0.3">
      <c r="B1218" s="60" t="s">
        <v>921</v>
      </c>
      <c r="C1218" s="60">
        <v>349</v>
      </c>
      <c r="D1218" s="62">
        <f t="shared" si="20"/>
        <v>331.55</v>
      </c>
    </row>
    <row r="1219" spans="2:4" x14ac:dyDescent="0.3">
      <c r="B1219" s="60" t="s">
        <v>922</v>
      </c>
      <c r="C1219" s="60">
        <v>299</v>
      </c>
      <c r="D1219" s="62">
        <f t="shared" si="20"/>
        <v>284.05</v>
      </c>
    </row>
    <row r="1220" spans="2:4" x14ac:dyDescent="0.3">
      <c r="B1220" s="60" t="s">
        <v>923</v>
      </c>
      <c r="C1220" s="60">
        <v>149</v>
      </c>
      <c r="D1220" s="62">
        <f t="shared" si="20"/>
        <v>141.55000000000001</v>
      </c>
    </row>
    <row r="1221" spans="2:4" x14ac:dyDescent="0.3">
      <c r="B1221" s="60" t="s">
        <v>924</v>
      </c>
      <c r="C1221" s="60">
        <v>249</v>
      </c>
      <c r="D1221" s="62">
        <f t="shared" si="20"/>
        <v>236.55</v>
      </c>
    </row>
    <row r="1222" spans="2:4" x14ac:dyDescent="0.3">
      <c r="B1222" s="60" t="s">
        <v>925</v>
      </c>
      <c r="C1222" s="60">
        <v>199</v>
      </c>
      <c r="D1222" s="62">
        <f t="shared" si="20"/>
        <v>189.05</v>
      </c>
    </row>
    <row r="1223" spans="2:4" x14ac:dyDescent="0.3">
      <c r="B1223" s="60" t="s">
        <v>926</v>
      </c>
      <c r="C1223" s="60">
        <v>299</v>
      </c>
      <c r="D1223" s="62">
        <f t="shared" si="20"/>
        <v>284.05</v>
      </c>
    </row>
    <row r="1224" spans="2:4" x14ac:dyDescent="0.3">
      <c r="B1224" s="60" t="s">
        <v>927</v>
      </c>
      <c r="C1224" s="60">
        <v>399</v>
      </c>
      <c r="D1224" s="62">
        <f t="shared" si="20"/>
        <v>379.05</v>
      </c>
    </row>
    <row r="1225" spans="2:4" x14ac:dyDescent="0.3">
      <c r="B1225" s="60" t="s">
        <v>928</v>
      </c>
      <c r="C1225" s="60">
        <v>399</v>
      </c>
      <c r="D1225" s="62">
        <f t="shared" si="20"/>
        <v>379.05</v>
      </c>
    </row>
    <row r="1226" spans="2:4" x14ac:dyDescent="0.3">
      <c r="B1226" s="60" t="s">
        <v>929</v>
      </c>
      <c r="C1226" s="60">
        <v>199</v>
      </c>
      <c r="D1226" s="62">
        <f t="shared" si="20"/>
        <v>189.05</v>
      </c>
    </row>
    <row r="1227" spans="2:4" x14ac:dyDescent="0.3">
      <c r="B1227" s="60" t="s">
        <v>930</v>
      </c>
      <c r="C1227" s="60">
        <v>249</v>
      </c>
      <c r="D1227" s="62">
        <f t="shared" si="20"/>
        <v>236.55</v>
      </c>
    </row>
    <row r="1228" spans="2:4" x14ac:dyDescent="0.3">
      <c r="B1228" s="60" t="s">
        <v>931</v>
      </c>
      <c r="C1228" s="60">
        <v>149</v>
      </c>
      <c r="D1228" s="62">
        <f t="shared" si="20"/>
        <v>141.55000000000001</v>
      </c>
    </row>
    <row r="1229" spans="2:4" x14ac:dyDescent="0.3">
      <c r="B1229" s="60" t="s">
        <v>932</v>
      </c>
      <c r="C1229" s="60">
        <v>249</v>
      </c>
      <c r="D1229" s="62">
        <f t="shared" si="20"/>
        <v>236.55</v>
      </c>
    </row>
    <row r="1230" spans="2:4" x14ac:dyDescent="0.3">
      <c r="B1230" s="60" t="s">
        <v>933</v>
      </c>
      <c r="C1230" s="60">
        <v>299</v>
      </c>
      <c r="D1230" s="62">
        <f t="shared" si="20"/>
        <v>284.05</v>
      </c>
    </row>
    <row r="1231" spans="2:4" x14ac:dyDescent="0.3">
      <c r="B1231" s="60" t="s">
        <v>934</v>
      </c>
      <c r="C1231" s="60">
        <v>299</v>
      </c>
      <c r="D1231" s="62">
        <f t="shared" si="20"/>
        <v>284.05</v>
      </c>
    </row>
    <row r="1232" spans="2:4" x14ac:dyDescent="0.3">
      <c r="B1232" s="60" t="s">
        <v>935</v>
      </c>
      <c r="C1232" s="60">
        <v>199</v>
      </c>
      <c r="D1232" s="62">
        <f t="shared" si="20"/>
        <v>189.05</v>
      </c>
    </row>
    <row r="1233" spans="2:4" x14ac:dyDescent="0.3">
      <c r="B1233" s="60" t="s">
        <v>936</v>
      </c>
      <c r="C1233" s="60">
        <v>299</v>
      </c>
      <c r="D1233" s="62">
        <f t="shared" si="20"/>
        <v>284.05</v>
      </c>
    </row>
    <row r="1234" spans="2:4" x14ac:dyDescent="0.3">
      <c r="B1234" s="60" t="s">
        <v>937</v>
      </c>
      <c r="C1234" s="60">
        <v>399</v>
      </c>
      <c r="D1234" s="62">
        <f t="shared" si="20"/>
        <v>379.05</v>
      </c>
    </row>
    <row r="1235" spans="2:4" x14ac:dyDescent="0.3">
      <c r="B1235" s="60" t="s">
        <v>938</v>
      </c>
      <c r="C1235" s="60">
        <v>199</v>
      </c>
      <c r="D1235" s="62">
        <f t="shared" si="20"/>
        <v>189.05</v>
      </c>
    </row>
    <row r="1236" spans="2:4" x14ac:dyDescent="0.3">
      <c r="B1236" s="60" t="s">
        <v>939</v>
      </c>
      <c r="C1236" s="60">
        <v>149</v>
      </c>
      <c r="D1236" s="62">
        <f t="shared" si="20"/>
        <v>141.55000000000001</v>
      </c>
    </row>
    <row r="1237" spans="2:4" x14ac:dyDescent="0.3">
      <c r="B1237" s="60" t="s">
        <v>940</v>
      </c>
      <c r="C1237" s="60">
        <v>199</v>
      </c>
      <c r="D1237" s="62">
        <f t="shared" si="20"/>
        <v>189.05</v>
      </c>
    </row>
    <row r="1238" spans="2:4" x14ac:dyDescent="0.3">
      <c r="B1238" s="60" t="s">
        <v>941</v>
      </c>
      <c r="C1238" s="60">
        <v>499</v>
      </c>
      <c r="D1238" s="62">
        <f t="shared" si="20"/>
        <v>474.05</v>
      </c>
    </row>
    <row r="1239" spans="2:4" x14ac:dyDescent="0.3">
      <c r="B1239" s="60" t="s">
        <v>942</v>
      </c>
      <c r="C1239" s="60">
        <v>99</v>
      </c>
      <c r="D1239" s="62">
        <f t="shared" si="20"/>
        <v>94.05</v>
      </c>
    </row>
    <row r="1240" spans="2:4" x14ac:dyDescent="0.3">
      <c r="B1240" s="60" t="s">
        <v>943</v>
      </c>
      <c r="C1240" s="60">
        <v>149</v>
      </c>
      <c r="D1240" s="62">
        <f t="shared" si="20"/>
        <v>141.55000000000001</v>
      </c>
    </row>
    <row r="1241" spans="2:4" x14ac:dyDescent="0.3">
      <c r="B1241" s="60" t="s">
        <v>944</v>
      </c>
      <c r="C1241" s="60">
        <v>199</v>
      </c>
      <c r="D1241" s="62">
        <f t="shared" si="20"/>
        <v>189.05</v>
      </c>
    </row>
    <row r="1242" spans="2:4" x14ac:dyDescent="0.3">
      <c r="B1242" s="60" t="s">
        <v>945</v>
      </c>
      <c r="C1242" s="60">
        <v>259</v>
      </c>
      <c r="D1242" s="62">
        <f t="shared" si="20"/>
        <v>246.05</v>
      </c>
    </row>
    <row r="1243" spans="2:4" x14ac:dyDescent="0.3">
      <c r="B1243" s="60" t="s">
        <v>946</v>
      </c>
      <c r="C1243" s="60">
        <v>199</v>
      </c>
      <c r="D1243" s="62">
        <f t="shared" si="20"/>
        <v>189.05</v>
      </c>
    </row>
    <row r="1244" spans="2:4" x14ac:dyDescent="0.3">
      <c r="B1244" s="60" t="s">
        <v>947</v>
      </c>
      <c r="C1244" s="60">
        <v>199</v>
      </c>
      <c r="D1244" s="62">
        <f t="shared" si="20"/>
        <v>189.05</v>
      </c>
    </row>
    <row r="1245" spans="2:4" x14ac:dyDescent="0.3">
      <c r="B1245" s="60" t="s">
        <v>948</v>
      </c>
      <c r="C1245" s="60">
        <v>199</v>
      </c>
      <c r="D1245" s="62">
        <f t="shared" si="20"/>
        <v>189.05</v>
      </c>
    </row>
    <row r="1246" spans="2:4" x14ac:dyDescent="0.3">
      <c r="B1246" s="60" t="s">
        <v>949</v>
      </c>
      <c r="C1246" s="60">
        <v>249</v>
      </c>
      <c r="D1246" s="62">
        <f t="shared" si="20"/>
        <v>236.55</v>
      </c>
    </row>
    <row r="1247" spans="2:4" x14ac:dyDescent="0.3">
      <c r="B1247" s="60" t="s">
        <v>950</v>
      </c>
      <c r="C1247" s="60">
        <v>299</v>
      </c>
      <c r="D1247" s="62">
        <f t="shared" si="20"/>
        <v>284.05</v>
      </c>
    </row>
    <row r="1248" spans="2:4" x14ac:dyDescent="0.3">
      <c r="B1248" s="60" t="s">
        <v>951</v>
      </c>
      <c r="C1248" s="60">
        <v>399</v>
      </c>
      <c r="D1248" s="62">
        <f t="shared" si="20"/>
        <v>379.05</v>
      </c>
    </row>
    <row r="1249" spans="2:4" x14ac:dyDescent="0.3">
      <c r="B1249" s="60" t="s">
        <v>952</v>
      </c>
      <c r="C1249" s="60">
        <v>429</v>
      </c>
      <c r="D1249" s="62">
        <f t="shared" si="20"/>
        <v>407.55</v>
      </c>
    </row>
    <row r="1250" spans="2:4" x14ac:dyDescent="0.3">
      <c r="B1250" s="60" t="s">
        <v>953</v>
      </c>
      <c r="C1250" s="60">
        <v>449</v>
      </c>
      <c r="D1250" s="62">
        <f t="shared" si="20"/>
        <v>426.55</v>
      </c>
    </row>
    <row r="1251" spans="2:4" x14ac:dyDescent="0.3">
      <c r="B1251" s="60" t="s">
        <v>954</v>
      </c>
      <c r="C1251" s="60">
        <v>549</v>
      </c>
      <c r="D1251" s="62">
        <f t="shared" si="20"/>
        <v>521.54999999999995</v>
      </c>
    </row>
    <row r="1252" spans="2:4" x14ac:dyDescent="0.3">
      <c r="B1252" s="60" t="s">
        <v>955</v>
      </c>
      <c r="C1252" s="60">
        <v>599</v>
      </c>
      <c r="D1252" s="62">
        <f t="shared" si="20"/>
        <v>569.04999999999995</v>
      </c>
    </row>
    <row r="1253" spans="2:4" x14ac:dyDescent="0.3">
      <c r="B1253" s="60" t="s">
        <v>956</v>
      </c>
      <c r="C1253" s="60">
        <v>399</v>
      </c>
      <c r="D1253" s="62">
        <f t="shared" si="20"/>
        <v>379.05</v>
      </c>
    </row>
    <row r="1254" spans="2:4" x14ac:dyDescent="0.3">
      <c r="B1254" s="60" t="s">
        <v>957</v>
      </c>
      <c r="C1254" s="60">
        <v>199</v>
      </c>
      <c r="D1254" s="62">
        <f t="shared" si="20"/>
        <v>189.05</v>
      </c>
    </row>
    <row r="1255" spans="2:4" x14ac:dyDescent="0.3">
      <c r="B1255" s="60" t="s">
        <v>958</v>
      </c>
      <c r="C1255" s="60">
        <v>199</v>
      </c>
      <c r="D1255" s="62">
        <f t="shared" si="20"/>
        <v>189.05</v>
      </c>
    </row>
    <row r="1256" spans="2:4" x14ac:dyDescent="0.3">
      <c r="B1256" s="60" t="s">
        <v>959</v>
      </c>
      <c r="C1256" s="60">
        <v>249</v>
      </c>
      <c r="D1256" s="62">
        <f t="shared" si="20"/>
        <v>236.55</v>
      </c>
    </row>
    <row r="1257" spans="2:4" x14ac:dyDescent="0.3">
      <c r="B1257" s="60" t="s">
        <v>960</v>
      </c>
      <c r="C1257" s="60">
        <v>199</v>
      </c>
      <c r="D1257" s="62">
        <f t="shared" si="20"/>
        <v>189.05</v>
      </c>
    </row>
    <row r="1258" spans="2:4" x14ac:dyDescent="0.3">
      <c r="B1258" s="60" t="s">
        <v>961</v>
      </c>
      <c r="C1258" s="60">
        <v>299</v>
      </c>
      <c r="D1258" s="62">
        <f t="shared" si="20"/>
        <v>284.05</v>
      </c>
    </row>
    <row r="1259" spans="2:4" x14ac:dyDescent="0.3">
      <c r="B1259" s="60" t="s">
        <v>962</v>
      </c>
      <c r="C1259" s="60">
        <v>199</v>
      </c>
      <c r="D1259" s="62">
        <f t="shared" si="20"/>
        <v>189.05</v>
      </c>
    </row>
    <row r="1260" spans="2:4" x14ac:dyDescent="0.3">
      <c r="B1260" s="60" t="s">
        <v>963</v>
      </c>
      <c r="C1260" s="60">
        <v>99</v>
      </c>
      <c r="D1260" s="62">
        <f t="shared" si="20"/>
        <v>94.05</v>
      </c>
    </row>
    <row r="1261" spans="2:4" x14ac:dyDescent="0.3">
      <c r="B1261" s="60" t="s">
        <v>964</v>
      </c>
      <c r="C1261" s="60">
        <v>159</v>
      </c>
      <c r="D1261" s="62">
        <f t="shared" si="20"/>
        <v>151.05000000000001</v>
      </c>
    </row>
    <row r="1262" spans="2:4" x14ac:dyDescent="0.3">
      <c r="B1262" s="60" t="s">
        <v>965</v>
      </c>
      <c r="C1262" s="60">
        <v>349</v>
      </c>
      <c r="D1262" s="62">
        <f t="shared" ref="D1262:D1325" si="21">C1262-(C1262*(5/100))</f>
        <v>331.55</v>
      </c>
    </row>
    <row r="1263" spans="2:4" x14ac:dyDescent="0.3">
      <c r="B1263" s="60" t="s">
        <v>966</v>
      </c>
      <c r="C1263" s="60">
        <v>199</v>
      </c>
      <c r="D1263" s="62">
        <f t="shared" si="21"/>
        <v>189.05</v>
      </c>
    </row>
    <row r="1264" spans="2:4" x14ac:dyDescent="0.3">
      <c r="B1264" s="60" t="s">
        <v>967</v>
      </c>
      <c r="C1264" s="60">
        <v>249</v>
      </c>
      <c r="D1264" s="62">
        <f t="shared" si="21"/>
        <v>236.55</v>
      </c>
    </row>
    <row r="1265" spans="2:4" x14ac:dyDescent="0.3">
      <c r="B1265" s="60" t="s">
        <v>968</v>
      </c>
      <c r="C1265" s="60">
        <v>299</v>
      </c>
      <c r="D1265" s="62">
        <f t="shared" si="21"/>
        <v>284.05</v>
      </c>
    </row>
    <row r="1266" spans="2:4" x14ac:dyDescent="0.3">
      <c r="B1266" s="60" t="s">
        <v>969</v>
      </c>
      <c r="C1266" s="60">
        <v>229</v>
      </c>
      <c r="D1266" s="62">
        <f t="shared" si="21"/>
        <v>217.55</v>
      </c>
    </row>
    <row r="1267" spans="2:4" x14ac:dyDescent="0.3">
      <c r="B1267" s="60" t="s">
        <v>970</v>
      </c>
      <c r="C1267" s="60">
        <v>399</v>
      </c>
      <c r="D1267" s="62">
        <f t="shared" si="21"/>
        <v>379.05</v>
      </c>
    </row>
    <row r="1268" spans="2:4" x14ac:dyDescent="0.3">
      <c r="B1268" s="60" t="s">
        <v>971</v>
      </c>
      <c r="C1268" s="60">
        <v>499</v>
      </c>
      <c r="D1268" s="62">
        <f t="shared" si="21"/>
        <v>474.05</v>
      </c>
    </row>
    <row r="1269" spans="2:4" x14ac:dyDescent="0.3">
      <c r="B1269" s="60" t="s">
        <v>972</v>
      </c>
      <c r="C1269" s="60">
        <v>249</v>
      </c>
      <c r="D1269" s="62">
        <f t="shared" si="21"/>
        <v>236.55</v>
      </c>
    </row>
    <row r="1270" spans="2:4" x14ac:dyDescent="0.3">
      <c r="B1270" s="60" t="s">
        <v>973</v>
      </c>
      <c r="C1270" s="60">
        <v>299</v>
      </c>
      <c r="D1270" s="62">
        <f t="shared" si="21"/>
        <v>284.05</v>
      </c>
    </row>
    <row r="1271" spans="2:4" x14ac:dyDescent="0.3">
      <c r="B1271" s="60" t="s">
        <v>974</v>
      </c>
      <c r="C1271" s="60">
        <v>499</v>
      </c>
      <c r="D1271" s="62">
        <f t="shared" si="21"/>
        <v>474.05</v>
      </c>
    </row>
    <row r="1272" spans="2:4" x14ac:dyDescent="0.3">
      <c r="B1272" s="60" t="s">
        <v>975</v>
      </c>
      <c r="C1272" s="60">
        <v>249</v>
      </c>
      <c r="D1272" s="62">
        <f t="shared" si="21"/>
        <v>236.55</v>
      </c>
    </row>
    <row r="1273" spans="2:4" x14ac:dyDescent="0.3">
      <c r="B1273" s="60" t="s">
        <v>976</v>
      </c>
      <c r="C1273" s="60">
        <v>249</v>
      </c>
      <c r="D1273" s="62">
        <f t="shared" si="21"/>
        <v>236.55</v>
      </c>
    </row>
    <row r="1274" spans="2:4" x14ac:dyDescent="0.3">
      <c r="B1274" s="60" t="s">
        <v>977</v>
      </c>
      <c r="C1274" s="60">
        <v>299</v>
      </c>
      <c r="D1274" s="62">
        <f t="shared" si="21"/>
        <v>284.05</v>
      </c>
    </row>
    <row r="1275" spans="2:4" x14ac:dyDescent="0.3">
      <c r="B1275" s="60" t="s">
        <v>978</v>
      </c>
      <c r="C1275" s="60">
        <v>299</v>
      </c>
      <c r="D1275" s="62">
        <f t="shared" si="21"/>
        <v>284.05</v>
      </c>
    </row>
    <row r="1276" spans="2:4" x14ac:dyDescent="0.3">
      <c r="B1276" s="60" t="s">
        <v>979</v>
      </c>
      <c r="C1276" s="60">
        <v>199</v>
      </c>
      <c r="D1276" s="62">
        <f t="shared" si="21"/>
        <v>189.05</v>
      </c>
    </row>
    <row r="1277" spans="2:4" x14ac:dyDescent="0.3">
      <c r="B1277" s="60" t="s">
        <v>980</v>
      </c>
      <c r="C1277" s="60">
        <v>399</v>
      </c>
      <c r="D1277" s="62">
        <f t="shared" si="21"/>
        <v>379.05</v>
      </c>
    </row>
    <row r="1278" spans="2:4" x14ac:dyDescent="0.3">
      <c r="B1278" s="60" t="s">
        <v>981</v>
      </c>
      <c r="C1278" s="60">
        <v>129</v>
      </c>
      <c r="D1278" s="62">
        <f t="shared" si="21"/>
        <v>122.55</v>
      </c>
    </row>
    <row r="1279" spans="2:4" x14ac:dyDescent="0.3">
      <c r="B1279" s="60" t="s">
        <v>982</v>
      </c>
      <c r="C1279" s="60">
        <v>599</v>
      </c>
      <c r="D1279" s="62">
        <f t="shared" si="21"/>
        <v>569.04999999999995</v>
      </c>
    </row>
    <row r="1280" spans="2:4" x14ac:dyDescent="0.3">
      <c r="B1280" s="60" t="s">
        <v>983</v>
      </c>
      <c r="C1280" s="60">
        <v>299</v>
      </c>
      <c r="D1280" s="62">
        <f t="shared" si="21"/>
        <v>284.05</v>
      </c>
    </row>
    <row r="1281" spans="2:4" x14ac:dyDescent="0.3">
      <c r="B1281" s="60" t="s">
        <v>984</v>
      </c>
      <c r="C1281" s="60">
        <v>399</v>
      </c>
      <c r="D1281" s="62">
        <f t="shared" si="21"/>
        <v>379.05</v>
      </c>
    </row>
    <row r="1282" spans="2:4" x14ac:dyDescent="0.3">
      <c r="B1282" s="60" t="s">
        <v>985</v>
      </c>
      <c r="C1282" s="60">
        <v>429</v>
      </c>
      <c r="D1282" s="62">
        <f t="shared" si="21"/>
        <v>407.55</v>
      </c>
    </row>
    <row r="1283" spans="2:4" x14ac:dyDescent="0.3">
      <c r="B1283" s="60" t="s">
        <v>986</v>
      </c>
      <c r="C1283" s="60">
        <v>499</v>
      </c>
      <c r="D1283" s="62">
        <f t="shared" si="21"/>
        <v>474.05</v>
      </c>
    </row>
    <row r="1284" spans="2:4" x14ac:dyDescent="0.3">
      <c r="B1284" s="60" t="s">
        <v>987</v>
      </c>
      <c r="C1284" s="60">
        <v>599</v>
      </c>
      <c r="D1284" s="62">
        <f t="shared" si="21"/>
        <v>569.04999999999995</v>
      </c>
    </row>
    <row r="1285" spans="2:4" x14ac:dyDescent="0.3">
      <c r="B1285" s="60" t="s">
        <v>988</v>
      </c>
      <c r="C1285" s="60">
        <v>549</v>
      </c>
      <c r="D1285" s="62">
        <f t="shared" si="21"/>
        <v>521.54999999999995</v>
      </c>
    </row>
    <row r="1286" spans="2:4" x14ac:dyDescent="0.3">
      <c r="B1286" s="60" t="s">
        <v>989</v>
      </c>
      <c r="C1286" s="60">
        <v>399</v>
      </c>
      <c r="D1286" s="62">
        <f t="shared" si="21"/>
        <v>379.05</v>
      </c>
    </row>
    <row r="1287" spans="2:4" x14ac:dyDescent="0.3">
      <c r="B1287" s="60" t="s">
        <v>990</v>
      </c>
      <c r="C1287" s="60">
        <v>499</v>
      </c>
      <c r="D1287" s="62">
        <f t="shared" si="21"/>
        <v>474.05</v>
      </c>
    </row>
    <row r="1288" spans="2:4" x14ac:dyDescent="0.3">
      <c r="B1288" s="60" t="s">
        <v>991</v>
      </c>
      <c r="C1288" s="60">
        <v>399</v>
      </c>
      <c r="D1288" s="62">
        <f t="shared" si="21"/>
        <v>379.05</v>
      </c>
    </row>
    <row r="1289" spans="2:4" x14ac:dyDescent="0.3">
      <c r="B1289" s="60" t="s">
        <v>992</v>
      </c>
      <c r="C1289" s="60">
        <v>99</v>
      </c>
      <c r="D1289" s="62">
        <f t="shared" si="21"/>
        <v>94.05</v>
      </c>
    </row>
    <row r="1290" spans="2:4" x14ac:dyDescent="0.3">
      <c r="B1290" s="60" t="s">
        <v>993</v>
      </c>
      <c r="C1290" s="60">
        <v>99</v>
      </c>
      <c r="D1290" s="62">
        <f t="shared" si="21"/>
        <v>94.05</v>
      </c>
    </row>
    <row r="1291" spans="2:4" x14ac:dyDescent="0.3">
      <c r="B1291" s="60" t="s">
        <v>994</v>
      </c>
      <c r="C1291" s="60">
        <v>129</v>
      </c>
      <c r="D1291" s="62">
        <f t="shared" si="21"/>
        <v>122.55</v>
      </c>
    </row>
    <row r="1292" spans="2:4" x14ac:dyDescent="0.3">
      <c r="B1292" s="60" t="s">
        <v>995</v>
      </c>
      <c r="C1292" s="60">
        <v>149</v>
      </c>
      <c r="D1292" s="62">
        <f t="shared" si="21"/>
        <v>141.55000000000001</v>
      </c>
    </row>
    <row r="1293" spans="2:4" x14ac:dyDescent="0.3">
      <c r="B1293" s="60" t="s">
        <v>996</v>
      </c>
      <c r="C1293" s="60">
        <v>399</v>
      </c>
      <c r="D1293" s="62">
        <f t="shared" si="21"/>
        <v>379.05</v>
      </c>
    </row>
    <row r="1294" spans="2:4" x14ac:dyDescent="0.3">
      <c r="B1294" s="60" t="s">
        <v>997</v>
      </c>
      <c r="C1294" s="60">
        <v>149</v>
      </c>
      <c r="D1294" s="62">
        <f t="shared" si="21"/>
        <v>141.55000000000001</v>
      </c>
    </row>
    <row r="1295" spans="2:4" x14ac:dyDescent="0.3">
      <c r="B1295" s="60" t="s">
        <v>998</v>
      </c>
      <c r="C1295" s="60">
        <v>129</v>
      </c>
      <c r="D1295" s="62">
        <f t="shared" si="21"/>
        <v>122.55</v>
      </c>
    </row>
    <row r="1296" spans="2:4" x14ac:dyDescent="0.3">
      <c r="B1296" s="60" t="s">
        <v>999</v>
      </c>
      <c r="C1296" s="60">
        <v>299</v>
      </c>
      <c r="D1296" s="62">
        <f t="shared" si="21"/>
        <v>284.05</v>
      </c>
    </row>
    <row r="1297" spans="2:4" x14ac:dyDescent="0.3">
      <c r="B1297" s="60" t="s">
        <v>1000</v>
      </c>
      <c r="C1297" s="60">
        <v>99</v>
      </c>
      <c r="D1297" s="62">
        <f t="shared" si="21"/>
        <v>94.05</v>
      </c>
    </row>
    <row r="1298" spans="2:4" x14ac:dyDescent="0.3">
      <c r="B1298" s="60" t="s">
        <v>1001</v>
      </c>
      <c r="C1298" s="60">
        <v>149</v>
      </c>
      <c r="D1298" s="62">
        <f t="shared" si="21"/>
        <v>141.55000000000001</v>
      </c>
    </row>
    <row r="1299" spans="2:4" x14ac:dyDescent="0.3">
      <c r="B1299" s="60" t="s">
        <v>1002</v>
      </c>
      <c r="C1299" s="60">
        <v>249</v>
      </c>
      <c r="D1299" s="62">
        <f t="shared" si="21"/>
        <v>236.55</v>
      </c>
    </row>
    <row r="1300" spans="2:4" x14ac:dyDescent="0.3">
      <c r="B1300" s="60" t="s">
        <v>1003</v>
      </c>
      <c r="C1300" s="60">
        <v>299</v>
      </c>
      <c r="D1300" s="62">
        <f t="shared" si="21"/>
        <v>284.05</v>
      </c>
    </row>
    <row r="1301" spans="2:4" x14ac:dyDescent="0.3">
      <c r="B1301" s="60" t="s">
        <v>1004</v>
      </c>
      <c r="C1301" s="60">
        <v>149</v>
      </c>
      <c r="D1301" s="62">
        <f t="shared" si="21"/>
        <v>141.55000000000001</v>
      </c>
    </row>
    <row r="1302" spans="2:4" x14ac:dyDescent="0.3">
      <c r="B1302" s="60" t="s">
        <v>1005</v>
      </c>
      <c r="C1302" s="60">
        <v>199</v>
      </c>
      <c r="D1302" s="62">
        <f t="shared" si="21"/>
        <v>189.05</v>
      </c>
    </row>
    <row r="1303" spans="2:4" x14ac:dyDescent="0.3">
      <c r="B1303" s="60" t="s">
        <v>1006</v>
      </c>
      <c r="C1303" s="60">
        <v>299</v>
      </c>
      <c r="D1303" s="62">
        <f t="shared" si="21"/>
        <v>284.05</v>
      </c>
    </row>
    <row r="1304" spans="2:4" x14ac:dyDescent="0.3">
      <c r="B1304" s="60" t="s">
        <v>1007</v>
      </c>
      <c r="C1304" s="60">
        <v>149</v>
      </c>
      <c r="D1304" s="62">
        <f t="shared" si="21"/>
        <v>141.55000000000001</v>
      </c>
    </row>
    <row r="1305" spans="2:4" x14ac:dyDescent="0.3">
      <c r="B1305" s="60" t="s">
        <v>1008</v>
      </c>
      <c r="C1305" s="60">
        <v>299</v>
      </c>
      <c r="D1305" s="62">
        <f t="shared" si="21"/>
        <v>284.05</v>
      </c>
    </row>
    <row r="1306" spans="2:4" x14ac:dyDescent="0.3">
      <c r="B1306" s="60" t="s">
        <v>1009</v>
      </c>
      <c r="C1306" s="60">
        <v>299</v>
      </c>
      <c r="D1306" s="62">
        <f t="shared" si="21"/>
        <v>284.05</v>
      </c>
    </row>
    <row r="1307" spans="2:4" x14ac:dyDescent="0.3">
      <c r="B1307" s="60" t="s">
        <v>1010</v>
      </c>
      <c r="C1307" s="60">
        <v>349</v>
      </c>
      <c r="D1307" s="62">
        <f t="shared" si="21"/>
        <v>331.55</v>
      </c>
    </row>
    <row r="1308" spans="2:4" x14ac:dyDescent="0.3">
      <c r="B1308" s="60" t="s">
        <v>1011</v>
      </c>
      <c r="C1308" s="60">
        <v>399</v>
      </c>
      <c r="D1308" s="62">
        <f t="shared" si="21"/>
        <v>379.05</v>
      </c>
    </row>
    <row r="1309" spans="2:4" x14ac:dyDescent="0.3">
      <c r="B1309" s="60" t="s">
        <v>1012</v>
      </c>
      <c r="C1309" s="60">
        <v>499</v>
      </c>
      <c r="D1309" s="62">
        <f t="shared" si="21"/>
        <v>474.05</v>
      </c>
    </row>
    <row r="1310" spans="2:4" x14ac:dyDescent="0.3">
      <c r="B1310" s="60" t="s">
        <v>1013</v>
      </c>
      <c r="C1310" s="60">
        <v>399</v>
      </c>
      <c r="D1310" s="62">
        <f t="shared" si="21"/>
        <v>379.05</v>
      </c>
    </row>
    <row r="1311" spans="2:4" x14ac:dyDescent="0.3">
      <c r="B1311" s="60" t="s">
        <v>1014</v>
      </c>
      <c r="C1311" s="60">
        <v>249</v>
      </c>
      <c r="D1311" s="62">
        <f t="shared" si="21"/>
        <v>236.55</v>
      </c>
    </row>
    <row r="1312" spans="2:4" x14ac:dyDescent="0.3">
      <c r="B1312" s="60" t="s">
        <v>1015</v>
      </c>
      <c r="C1312" s="60">
        <v>299</v>
      </c>
      <c r="D1312" s="62">
        <f t="shared" si="21"/>
        <v>284.05</v>
      </c>
    </row>
    <row r="1313" spans="2:4" x14ac:dyDescent="0.3">
      <c r="B1313" s="60" t="s">
        <v>1016</v>
      </c>
      <c r="C1313" s="60">
        <v>249</v>
      </c>
      <c r="D1313" s="62">
        <f t="shared" si="21"/>
        <v>236.55</v>
      </c>
    </row>
    <row r="1314" spans="2:4" x14ac:dyDescent="0.3">
      <c r="B1314" s="60" t="s">
        <v>1017</v>
      </c>
      <c r="C1314" s="60">
        <v>249</v>
      </c>
      <c r="D1314" s="62">
        <f t="shared" si="21"/>
        <v>236.55</v>
      </c>
    </row>
    <row r="1315" spans="2:4" x14ac:dyDescent="0.3">
      <c r="B1315" s="60" t="s">
        <v>1018</v>
      </c>
      <c r="C1315" s="60">
        <v>249</v>
      </c>
      <c r="D1315" s="62">
        <f t="shared" si="21"/>
        <v>236.55</v>
      </c>
    </row>
    <row r="1316" spans="2:4" x14ac:dyDescent="0.3">
      <c r="B1316" s="60" t="s">
        <v>1019</v>
      </c>
      <c r="C1316" s="60">
        <v>349</v>
      </c>
      <c r="D1316" s="62">
        <f t="shared" si="21"/>
        <v>331.55</v>
      </c>
    </row>
    <row r="1317" spans="2:4" x14ac:dyDescent="0.3">
      <c r="B1317" s="60" t="s">
        <v>1020</v>
      </c>
      <c r="C1317" s="60">
        <v>249</v>
      </c>
      <c r="D1317" s="62">
        <f t="shared" si="21"/>
        <v>236.55</v>
      </c>
    </row>
    <row r="1318" spans="2:4" x14ac:dyDescent="0.3">
      <c r="B1318" s="60" t="s">
        <v>1021</v>
      </c>
      <c r="C1318" s="60">
        <v>399</v>
      </c>
      <c r="D1318" s="62">
        <f t="shared" si="21"/>
        <v>379.05</v>
      </c>
    </row>
    <row r="1319" spans="2:4" x14ac:dyDescent="0.3">
      <c r="B1319" s="60" t="s">
        <v>1022</v>
      </c>
      <c r="C1319" s="60">
        <v>249</v>
      </c>
      <c r="D1319" s="62">
        <f t="shared" si="21"/>
        <v>236.55</v>
      </c>
    </row>
    <row r="1320" spans="2:4" x14ac:dyDescent="0.3">
      <c r="B1320" s="60" t="s">
        <v>1023</v>
      </c>
      <c r="C1320" s="60">
        <v>299</v>
      </c>
      <c r="D1320" s="62">
        <f t="shared" si="21"/>
        <v>284.05</v>
      </c>
    </row>
    <row r="1321" spans="2:4" x14ac:dyDescent="0.3">
      <c r="B1321" s="60" t="s">
        <v>1024</v>
      </c>
      <c r="C1321" s="60">
        <v>299</v>
      </c>
      <c r="D1321" s="62">
        <f t="shared" si="21"/>
        <v>284.05</v>
      </c>
    </row>
    <row r="1322" spans="2:4" x14ac:dyDescent="0.3">
      <c r="B1322" s="60" t="s">
        <v>1025</v>
      </c>
      <c r="C1322" s="60">
        <v>200</v>
      </c>
      <c r="D1322" s="62">
        <f t="shared" si="21"/>
        <v>190</v>
      </c>
    </row>
    <row r="1323" spans="2:4" x14ac:dyDescent="0.3">
      <c r="B1323" s="60" t="s">
        <v>1026</v>
      </c>
      <c r="C1323" s="60">
        <v>499</v>
      </c>
      <c r="D1323" s="62">
        <f t="shared" si="21"/>
        <v>474.05</v>
      </c>
    </row>
    <row r="1324" spans="2:4" x14ac:dyDescent="0.3">
      <c r="B1324" s="60" t="s">
        <v>1027</v>
      </c>
      <c r="C1324" s="60">
        <v>399</v>
      </c>
      <c r="D1324" s="62">
        <f t="shared" si="21"/>
        <v>379.05</v>
      </c>
    </row>
    <row r="1325" spans="2:4" x14ac:dyDescent="0.3">
      <c r="B1325" s="60" t="s">
        <v>1028</v>
      </c>
      <c r="C1325" s="60">
        <v>599</v>
      </c>
      <c r="D1325" s="62">
        <f t="shared" si="21"/>
        <v>569.04999999999995</v>
      </c>
    </row>
    <row r="1326" spans="2:4" x14ac:dyDescent="0.3">
      <c r="B1326" s="60" t="s">
        <v>1029</v>
      </c>
      <c r="C1326" s="60">
        <v>599</v>
      </c>
      <c r="D1326" s="62">
        <f t="shared" ref="D1326:D1389" si="22">C1326-(C1326*(5/100))</f>
        <v>569.04999999999995</v>
      </c>
    </row>
    <row r="1327" spans="2:4" x14ac:dyDescent="0.3">
      <c r="B1327" s="60" t="s">
        <v>1030</v>
      </c>
      <c r="C1327" s="60">
        <v>149</v>
      </c>
      <c r="D1327" s="62">
        <f t="shared" si="22"/>
        <v>141.55000000000001</v>
      </c>
    </row>
    <row r="1328" spans="2:4" x14ac:dyDescent="0.3">
      <c r="B1328" s="60" t="s">
        <v>1031</v>
      </c>
      <c r="C1328" s="60">
        <v>449</v>
      </c>
      <c r="D1328" s="62">
        <f t="shared" si="22"/>
        <v>426.55</v>
      </c>
    </row>
    <row r="1329" spans="2:4" x14ac:dyDescent="0.3">
      <c r="B1329" s="60" t="s">
        <v>1032</v>
      </c>
      <c r="C1329" s="60">
        <v>499</v>
      </c>
      <c r="D1329" s="62">
        <f t="shared" si="22"/>
        <v>474.05</v>
      </c>
    </row>
    <row r="1330" spans="2:4" x14ac:dyDescent="0.3">
      <c r="B1330" s="60" t="s">
        <v>1033</v>
      </c>
      <c r="C1330" s="60">
        <v>199</v>
      </c>
      <c r="D1330" s="62">
        <f t="shared" si="22"/>
        <v>189.05</v>
      </c>
    </row>
    <row r="1331" spans="2:4" x14ac:dyDescent="0.3">
      <c r="B1331" s="60" t="s">
        <v>1034</v>
      </c>
      <c r="C1331" s="60">
        <v>399</v>
      </c>
      <c r="D1331" s="62">
        <f t="shared" si="22"/>
        <v>379.05</v>
      </c>
    </row>
    <row r="1332" spans="2:4" x14ac:dyDescent="0.3">
      <c r="B1332" s="60" t="s">
        <v>1035</v>
      </c>
      <c r="C1332" s="60">
        <v>599</v>
      </c>
      <c r="D1332" s="62">
        <f t="shared" si="22"/>
        <v>569.04999999999995</v>
      </c>
    </row>
    <row r="1333" spans="2:4" x14ac:dyDescent="0.3">
      <c r="B1333" s="60" t="s">
        <v>1036</v>
      </c>
      <c r="C1333" s="60">
        <v>499</v>
      </c>
      <c r="D1333" s="62">
        <f t="shared" si="22"/>
        <v>474.05</v>
      </c>
    </row>
    <row r="1334" spans="2:4" x14ac:dyDescent="0.3">
      <c r="B1334" s="60" t="s">
        <v>1037</v>
      </c>
      <c r="C1334" s="60">
        <v>599</v>
      </c>
      <c r="D1334" s="62">
        <f t="shared" si="22"/>
        <v>569.04999999999995</v>
      </c>
    </row>
    <row r="1335" spans="2:4" x14ac:dyDescent="0.3">
      <c r="B1335" s="60" t="s">
        <v>1038</v>
      </c>
      <c r="C1335" s="60">
        <v>499</v>
      </c>
      <c r="D1335" s="62">
        <f t="shared" si="22"/>
        <v>474.05</v>
      </c>
    </row>
    <row r="1336" spans="2:4" x14ac:dyDescent="0.3">
      <c r="B1336" s="60" t="s">
        <v>1039</v>
      </c>
      <c r="C1336" s="60">
        <v>299</v>
      </c>
      <c r="D1336" s="62">
        <f t="shared" si="22"/>
        <v>284.05</v>
      </c>
    </row>
    <row r="1337" spans="2:4" x14ac:dyDescent="0.3">
      <c r="B1337" s="60" t="s">
        <v>1040</v>
      </c>
      <c r="C1337" s="60">
        <v>299</v>
      </c>
      <c r="D1337" s="62">
        <f t="shared" si="22"/>
        <v>284.05</v>
      </c>
    </row>
    <row r="1338" spans="2:4" x14ac:dyDescent="0.3">
      <c r="B1338" s="60" t="s">
        <v>1041</v>
      </c>
      <c r="C1338" s="60">
        <v>299</v>
      </c>
      <c r="D1338" s="62">
        <f t="shared" si="22"/>
        <v>284.05</v>
      </c>
    </row>
    <row r="1339" spans="2:4" x14ac:dyDescent="0.3">
      <c r="B1339" s="60" t="s">
        <v>1042</v>
      </c>
      <c r="C1339" s="60">
        <v>149</v>
      </c>
      <c r="D1339" s="62">
        <f t="shared" si="22"/>
        <v>141.55000000000001</v>
      </c>
    </row>
    <row r="1340" spans="2:4" x14ac:dyDescent="0.3">
      <c r="B1340" s="60" t="s">
        <v>1043</v>
      </c>
      <c r="C1340" s="60">
        <v>199</v>
      </c>
      <c r="D1340" s="62">
        <f t="shared" si="22"/>
        <v>189.05</v>
      </c>
    </row>
    <row r="1341" spans="2:4" x14ac:dyDescent="0.3">
      <c r="B1341" s="60" t="s">
        <v>1044</v>
      </c>
      <c r="C1341" s="60">
        <v>299</v>
      </c>
      <c r="D1341" s="62">
        <f t="shared" si="22"/>
        <v>284.05</v>
      </c>
    </row>
    <row r="1342" spans="2:4" x14ac:dyDescent="0.3">
      <c r="B1342" s="60" t="s">
        <v>1045</v>
      </c>
      <c r="C1342" s="60">
        <v>129</v>
      </c>
      <c r="D1342" s="62">
        <f t="shared" si="22"/>
        <v>122.55</v>
      </c>
    </row>
    <row r="1343" spans="2:4" x14ac:dyDescent="0.3">
      <c r="B1343" s="60" t="s">
        <v>1046</v>
      </c>
      <c r="C1343" s="60">
        <v>299</v>
      </c>
      <c r="D1343" s="62">
        <f t="shared" si="22"/>
        <v>284.05</v>
      </c>
    </row>
    <row r="1344" spans="2:4" x14ac:dyDescent="0.3">
      <c r="B1344" s="60" t="s">
        <v>1047</v>
      </c>
      <c r="C1344" s="60">
        <v>199</v>
      </c>
      <c r="D1344" s="62">
        <f t="shared" si="22"/>
        <v>189.05</v>
      </c>
    </row>
    <row r="1345" spans="2:4" x14ac:dyDescent="0.3">
      <c r="B1345" s="60" t="s">
        <v>1048</v>
      </c>
      <c r="C1345" s="60">
        <v>499</v>
      </c>
      <c r="D1345" s="62">
        <f t="shared" si="22"/>
        <v>474.05</v>
      </c>
    </row>
    <row r="1346" spans="2:4" x14ac:dyDescent="0.3">
      <c r="B1346" s="60" t="s">
        <v>1049</v>
      </c>
      <c r="C1346" s="60">
        <v>599</v>
      </c>
      <c r="D1346" s="62">
        <f t="shared" si="22"/>
        <v>569.04999999999995</v>
      </c>
    </row>
    <row r="1347" spans="2:4" x14ac:dyDescent="0.3">
      <c r="B1347" s="60" t="s">
        <v>1050</v>
      </c>
      <c r="C1347" s="60">
        <v>399</v>
      </c>
      <c r="D1347" s="62">
        <f t="shared" si="22"/>
        <v>379.05</v>
      </c>
    </row>
    <row r="1348" spans="2:4" x14ac:dyDescent="0.3">
      <c r="B1348" s="60" t="s">
        <v>1051</v>
      </c>
      <c r="C1348" s="60">
        <v>399</v>
      </c>
      <c r="D1348" s="62">
        <f t="shared" si="22"/>
        <v>379.05</v>
      </c>
    </row>
    <row r="1349" spans="2:4" x14ac:dyDescent="0.3">
      <c r="B1349" s="60" t="s">
        <v>1052</v>
      </c>
      <c r="C1349" s="60">
        <v>249</v>
      </c>
      <c r="D1349" s="62">
        <f t="shared" si="22"/>
        <v>236.55</v>
      </c>
    </row>
    <row r="1350" spans="2:4" x14ac:dyDescent="0.3">
      <c r="B1350" s="60" t="s">
        <v>1053</v>
      </c>
      <c r="C1350" s="60">
        <v>299</v>
      </c>
      <c r="D1350" s="62">
        <f t="shared" si="22"/>
        <v>284.05</v>
      </c>
    </row>
    <row r="1351" spans="2:4" x14ac:dyDescent="0.3">
      <c r="B1351" s="60" t="s">
        <v>1054</v>
      </c>
      <c r="C1351" s="60">
        <v>399</v>
      </c>
      <c r="D1351" s="62">
        <f t="shared" si="22"/>
        <v>379.05</v>
      </c>
    </row>
    <row r="1352" spans="2:4" x14ac:dyDescent="0.3">
      <c r="B1352" s="60" t="s">
        <v>1055</v>
      </c>
      <c r="C1352" s="60">
        <v>399</v>
      </c>
      <c r="D1352" s="62">
        <f t="shared" si="22"/>
        <v>379.05</v>
      </c>
    </row>
    <row r="1353" spans="2:4" x14ac:dyDescent="0.3">
      <c r="B1353" s="60" t="s">
        <v>1056</v>
      </c>
      <c r="C1353" s="60">
        <v>399</v>
      </c>
      <c r="D1353" s="62">
        <f t="shared" si="22"/>
        <v>379.05</v>
      </c>
    </row>
    <row r="1354" spans="2:4" x14ac:dyDescent="0.3">
      <c r="B1354" s="60" t="s">
        <v>1057</v>
      </c>
      <c r="C1354" s="60">
        <v>299</v>
      </c>
      <c r="D1354" s="62">
        <f t="shared" si="22"/>
        <v>284.05</v>
      </c>
    </row>
    <row r="1355" spans="2:4" x14ac:dyDescent="0.3">
      <c r="B1355" s="60" t="s">
        <v>1058</v>
      </c>
      <c r="C1355" s="60">
        <v>299</v>
      </c>
      <c r="D1355" s="62">
        <f t="shared" si="22"/>
        <v>284.05</v>
      </c>
    </row>
    <row r="1356" spans="2:4" x14ac:dyDescent="0.3">
      <c r="B1356" s="60" t="s">
        <v>1059</v>
      </c>
      <c r="C1356" s="60">
        <v>299</v>
      </c>
      <c r="D1356" s="62">
        <f t="shared" si="22"/>
        <v>284.05</v>
      </c>
    </row>
    <row r="1357" spans="2:4" x14ac:dyDescent="0.3">
      <c r="B1357" s="60" t="s">
        <v>1060</v>
      </c>
      <c r="C1357" s="60">
        <v>399</v>
      </c>
      <c r="D1357" s="62">
        <f t="shared" si="22"/>
        <v>379.05</v>
      </c>
    </row>
    <row r="1358" spans="2:4" x14ac:dyDescent="0.3">
      <c r="B1358" s="60" t="s">
        <v>1061</v>
      </c>
      <c r="C1358" s="60">
        <v>299</v>
      </c>
      <c r="D1358" s="62">
        <f t="shared" si="22"/>
        <v>284.05</v>
      </c>
    </row>
    <row r="1359" spans="2:4" x14ac:dyDescent="0.3">
      <c r="B1359" s="60" t="s">
        <v>1062</v>
      </c>
      <c r="C1359" s="60">
        <v>299</v>
      </c>
      <c r="D1359" s="62">
        <f t="shared" si="22"/>
        <v>284.05</v>
      </c>
    </row>
    <row r="1360" spans="2:4" x14ac:dyDescent="0.3">
      <c r="B1360" s="60" t="s">
        <v>1063</v>
      </c>
      <c r="C1360" s="60">
        <v>449</v>
      </c>
      <c r="D1360" s="62">
        <f t="shared" si="22"/>
        <v>426.55</v>
      </c>
    </row>
    <row r="1361" spans="2:4" x14ac:dyDescent="0.3">
      <c r="B1361" s="60" t="s">
        <v>1064</v>
      </c>
      <c r="C1361" s="60">
        <v>249</v>
      </c>
      <c r="D1361" s="62">
        <f t="shared" si="22"/>
        <v>236.55</v>
      </c>
    </row>
    <row r="1362" spans="2:4" x14ac:dyDescent="0.3">
      <c r="B1362" s="60" t="s">
        <v>1065</v>
      </c>
      <c r="C1362" s="60">
        <v>299</v>
      </c>
      <c r="D1362" s="62">
        <f t="shared" si="22"/>
        <v>284.05</v>
      </c>
    </row>
    <row r="1363" spans="2:4" x14ac:dyDescent="0.3">
      <c r="B1363" s="60" t="s">
        <v>1066</v>
      </c>
      <c r="C1363" s="60">
        <v>399</v>
      </c>
      <c r="D1363" s="62">
        <f t="shared" si="22"/>
        <v>379.05</v>
      </c>
    </row>
    <row r="1364" spans="2:4" x14ac:dyDescent="0.3">
      <c r="B1364" s="60" t="s">
        <v>1067</v>
      </c>
      <c r="C1364" s="60">
        <v>249</v>
      </c>
      <c r="D1364" s="62">
        <f t="shared" si="22"/>
        <v>236.55</v>
      </c>
    </row>
    <row r="1365" spans="2:4" x14ac:dyDescent="0.3">
      <c r="B1365" s="60" t="s">
        <v>1068</v>
      </c>
      <c r="C1365" s="60">
        <v>199</v>
      </c>
      <c r="D1365" s="62">
        <f t="shared" si="22"/>
        <v>189.05</v>
      </c>
    </row>
    <row r="1366" spans="2:4" x14ac:dyDescent="0.3">
      <c r="B1366" s="60" t="s">
        <v>1069</v>
      </c>
      <c r="C1366" s="60">
        <v>149</v>
      </c>
      <c r="D1366" s="62">
        <f t="shared" si="22"/>
        <v>141.55000000000001</v>
      </c>
    </row>
    <row r="1367" spans="2:4" x14ac:dyDescent="0.3">
      <c r="B1367" s="60" t="s">
        <v>1070</v>
      </c>
      <c r="C1367" s="60">
        <v>249</v>
      </c>
      <c r="D1367" s="62">
        <f t="shared" si="22"/>
        <v>236.55</v>
      </c>
    </row>
    <row r="1368" spans="2:4" x14ac:dyDescent="0.3">
      <c r="B1368" s="60" t="s">
        <v>1071</v>
      </c>
      <c r="C1368" s="60">
        <v>329</v>
      </c>
      <c r="D1368" s="62">
        <f t="shared" si="22"/>
        <v>312.55</v>
      </c>
    </row>
    <row r="1369" spans="2:4" x14ac:dyDescent="0.3">
      <c r="B1369" s="60" t="s">
        <v>1072</v>
      </c>
      <c r="C1369" s="60">
        <v>249</v>
      </c>
      <c r="D1369" s="62">
        <f t="shared" si="22"/>
        <v>236.55</v>
      </c>
    </row>
    <row r="1370" spans="2:4" x14ac:dyDescent="0.3">
      <c r="B1370" s="60" t="s">
        <v>1073</v>
      </c>
      <c r="C1370" s="60">
        <v>209</v>
      </c>
      <c r="D1370" s="62">
        <f t="shared" si="22"/>
        <v>198.55</v>
      </c>
    </row>
    <row r="1371" spans="2:4" x14ac:dyDescent="0.3">
      <c r="B1371" s="60" t="s">
        <v>1074</v>
      </c>
      <c r="C1371" s="60">
        <v>399</v>
      </c>
      <c r="D1371" s="62">
        <f t="shared" si="22"/>
        <v>379.05</v>
      </c>
    </row>
    <row r="1372" spans="2:4" x14ac:dyDescent="0.3">
      <c r="B1372" s="60" t="s">
        <v>1325</v>
      </c>
      <c r="C1372" s="60">
        <v>299</v>
      </c>
      <c r="D1372" s="62">
        <f t="shared" si="22"/>
        <v>284.05</v>
      </c>
    </row>
    <row r="1373" spans="2:4" x14ac:dyDescent="0.3">
      <c r="B1373" s="60" t="s">
        <v>1326</v>
      </c>
      <c r="C1373" s="60">
        <v>299</v>
      </c>
      <c r="D1373" s="62">
        <f t="shared" si="22"/>
        <v>284.05</v>
      </c>
    </row>
    <row r="1374" spans="2:4" x14ac:dyDescent="0.3">
      <c r="B1374" s="60" t="s">
        <v>1327</v>
      </c>
      <c r="C1374" s="60">
        <v>399</v>
      </c>
      <c r="D1374" s="62">
        <f t="shared" si="22"/>
        <v>379.05</v>
      </c>
    </row>
    <row r="1375" spans="2:4" x14ac:dyDescent="0.3">
      <c r="B1375" s="60" t="s">
        <v>1328</v>
      </c>
      <c r="C1375" s="60">
        <v>329</v>
      </c>
      <c r="D1375" s="62">
        <f t="shared" si="22"/>
        <v>312.55</v>
      </c>
    </row>
    <row r="1376" spans="2:4" x14ac:dyDescent="0.3">
      <c r="B1376" s="60" t="s">
        <v>1329</v>
      </c>
      <c r="C1376" s="60">
        <v>99</v>
      </c>
      <c r="D1376" s="62">
        <f t="shared" si="22"/>
        <v>94.05</v>
      </c>
    </row>
    <row r="1377" spans="2:4" x14ac:dyDescent="0.3">
      <c r="B1377" s="60" t="s">
        <v>1330</v>
      </c>
      <c r="C1377" s="60">
        <v>299</v>
      </c>
      <c r="D1377" s="62">
        <f t="shared" si="22"/>
        <v>284.05</v>
      </c>
    </row>
    <row r="1378" spans="2:4" x14ac:dyDescent="0.3">
      <c r="B1378" s="60" t="s">
        <v>1331</v>
      </c>
      <c r="C1378" s="60">
        <v>249</v>
      </c>
      <c r="D1378" s="62">
        <f t="shared" si="22"/>
        <v>236.55</v>
      </c>
    </row>
    <row r="1379" spans="2:4" x14ac:dyDescent="0.3">
      <c r="B1379" s="60" t="s">
        <v>1332</v>
      </c>
      <c r="C1379" s="60">
        <v>149</v>
      </c>
      <c r="D1379" s="62">
        <f t="shared" si="22"/>
        <v>141.55000000000001</v>
      </c>
    </row>
    <row r="1380" spans="2:4" x14ac:dyDescent="0.3">
      <c r="B1380" s="60" t="s">
        <v>1333</v>
      </c>
      <c r="C1380" s="60">
        <v>99</v>
      </c>
      <c r="D1380" s="62">
        <f t="shared" si="22"/>
        <v>94.05</v>
      </c>
    </row>
    <row r="1381" spans="2:4" x14ac:dyDescent="0.3">
      <c r="B1381" s="60" t="s">
        <v>1334</v>
      </c>
      <c r="C1381" s="60">
        <v>399</v>
      </c>
      <c r="D1381" s="62">
        <f t="shared" si="22"/>
        <v>379.05</v>
      </c>
    </row>
    <row r="1382" spans="2:4" x14ac:dyDescent="0.3">
      <c r="B1382" s="60" t="s">
        <v>1335</v>
      </c>
      <c r="C1382" s="60">
        <v>429</v>
      </c>
      <c r="D1382" s="62">
        <f t="shared" si="22"/>
        <v>407.55</v>
      </c>
    </row>
    <row r="1383" spans="2:4" x14ac:dyDescent="0.3">
      <c r="B1383" s="60" t="s">
        <v>1336</v>
      </c>
      <c r="C1383" s="60">
        <v>499</v>
      </c>
      <c r="D1383" s="62">
        <f t="shared" si="22"/>
        <v>474.05</v>
      </c>
    </row>
    <row r="1384" spans="2:4" x14ac:dyDescent="0.3">
      <c r="B1384" s="60" t="s">
        <v>1337</v>
      </c>
      <c r="C1384" s="60">
        <v>599</v>
      </c>
      <c r="D1384" s="62">
        <f t="shared" si="22"/>
        <v>569.04999999999995</v>
      </c>
    </row>
    <row r="1385" spans="2:4" x14ac:dyDescent="0.3">
      <c r="B1385" s="60" t="s">
        <v>1338</v>
      </c>
      <c r="C1385" s="60">
        <v>99</v>
      </c>
      <c r="D1385" s="62">
        <f t="shared" si="22"/>
        <v>94.05</v>
      </c>
    </row>
    <row r="1386" spans="2:4" x14ac:dyDescent="0.3">
      <c r="B1386" s="60" t="s">
        <v>1339</v>
      </c>
      <c r="C1386" s="60">
        <v>199</v>
      </c>
      <c r="D1386" s="62">
        <f t="shared" si="22"/>
        <v>189.05</v>
      </c>
    </row>
    <row r="1387" spans="2:4" x14ac:dyDescent="0.3">
      <c r="B1387" s="60" t="s">
        <v>1340</v>
      </c>
      <c r="C1387" s="60">
        <v>249</v>
      </c>
      <c r="D1387" s="62">
        <f t="shared" si="22"/>
        <v>236.55</v>
      </c>
    </row>
    <row r="1388" spans="2:4" x14ac:dyDescent="0.3">
      <c r="B1388" s="60" t="s">
        <v>1341</v>
      </c>
      <c r="C1388" s="60">
        <v>399</v>
      </c>
      <c r="D1388" s="62">
        <f t="shared" si="22"/>
        <v>379.05</v>
      </c>
    </row>
    <row r="1389" spans="2:4" x14ac:dyDescent="0.3">
      <c r="B1389" s="60" t="s">
        <v>1342</v>
      </c>
      <c r="C1389" s="60">
        <v>499</v>
      </c>
      <c r="D1389" s="62">
        <f t="shared" si="22"/>
        <v>474.05</v>
      </c>
    </row>
    <row r="1390" spans="2:4" x14ac:dyDescent="0.3">
      <c r="B1390" s="60" t="s">
        <v>1343</v>
      </c>
      <c r="C1390" s="60">
        <v>449</v>
      </c>
      <c r="D1390" s="62">
        <f t="shared" ref="D1390:D1432" si="23">C1390-(C1390*(5/100))</f>
        <v>426.55</v>
      </c>
    </row>
    <row r="1391" spans="2:4" x14ac:dyDescent="0.3">
      <c r="B1391" s="60" t="s">
        <v>1344</v>
      </c>
      <c r="C1391" s="60">
        <v>249</v>
      </c>
      <c r="D1391" s="62">
        <f t="shared" si="23"/>
        <v>236.55</v>
      </c>
    </row>
    <row r="1392" spans="2:4" x14ac:dyDescent="0.3">
      <c r="B1392" s="60" t="s">
        <v>1345</v>
      </c>
      <c r="C1392" s="60">
        <v>199</v>
      </c>
      <c r="D1392" s="62">
        <f t="shared" si="23"/>
        <v>189.05</v>
      </c>
    </row>
    <row r="1393" spans="2:4" x14ac:dyDescent="0.3">
      <c r="B1393" s="60" t="s">
        <v>1346</v>
      </c>
      <c r="C1393" s="60">
        <v>399</v>
      </c>
      <c r="D1393" s="62">
        <f t="shared" si="23"/>
        <v>379.05</v>
      </c>
    </row>
    <row r="1394" spans="2:4" x14ac:dyDescent="0.3">
      <c r="B1394" s="60" t="s">
        <v>1347</v>
      </c>
      <c r="C1394" s="60">
        <v>599</v>
      </c>
      <c r="D1394" s="62">
        <f t="shared" si="23"/>
        <v>569.04999999999995</v>
      </c>
    </row>
    <row r="1395" spans="2:4" x14ac:dyDescent="0.3">
      <c r="B1395" s="60" t="s">
        <v>1348</v>
      </c>
      <c r="C1395" s="60">
        <v>529</v>
      </c>
      <c r="D1395" s="62">
        <f t="shared" si="23"/>
        <v>502.55</v>
      </c>
    </row>
    <row r="1396" spans="2:4" x14ac:dyDescent="0.3">
      <c r="B1396" s="60" t="s">
        <v>1349</v>
      </c>
      <c r="C1396" s="60">
        <v>299</v>
      </c>
      <c r="D1396" s="62">
        <f t="shared" si="23"/>
        <v>284.05</v>
      </c>
    </row>
    <row r="1397" spans="2:4" x14ac:dyDescent="0.3">
      <c r="B1397" s="60" t="s">
        <v>1350</v>
      </c>
      <c r="C1397" s="60">
        <v>429</v>
      </c>
      <c r="D1397" s="62">
        <f t="shared" si="23"/>
        <v>407.55</v>
      </c>
    </row>
    <row r="1398" spans="2:4" x14ac:dyDescent="0.3">
      <c r="B1398" s="60" t="s">
        <v>1351</v>
      </c>
      <c r="C1398" s="60">
        <v>449</v>
      </c>
      <c r="D1398" s="62">
        <f t="shared" si="23"/>
        <v>426.55</v>
      </c>
    </row>
    <row r="1399" spans="2:4" x14ac:dyDescent="0.3">
      <c r="B1399" s="60" t="s">
        <v>1352</v>
      </c>
      <c r="C1399" s="60">
        <v>299</v>
      </c>
      <c r="D1399" s="62">
        <f t="shared" si="23"/>
        <v>284.05</v>
      </c>
    </row>
    <row r="1400" spans="2:4" x14ac:dyDescent="0.3">
      <c r="B1400" s="60" t="s">
        <v>1353</v>
      </c>
      <c r="C1400" s="60">
        <v>429</v>
      </c>
      <c r="D1400" s="62">
        <f t="shared" si="23"/>
        <v>407.55</v>
      </c>
    </row>
    <row r="1401" spans="2:4" x14ac:dyDescent="0.3">
      <c r="B1401" s="60" t="s">
        <v>1354</v>
      </c>
      <c r="C1401" s="60">
        <v>529</v>
      </c>
      <c r="D1401" s="62">
        <f t="shared" si="23"/>
        <v>502.55</v>
      </c>
    </row>
    <row r="1402" spans="2:4" x14ac:dyDescent="0.3">
      <c r="B1402" s="60" t="s">
        <v>1355</v>
      </c>
      <c r="C1402" s="60">
        <v>599</v>
      </c>
      <c r="D1402" s="62">
        <f t="shared" si="23"/>
        <v>569.04999999999995</v>
      </c>
    </row>
    <row r="1403" spans="2:4" x14ac:dyDescent="0.3">
      <c r="B1403" s="60" t="s">
        <v>1356</v>
      </c>
      <c r="C1403" s="60">
        <v>199</v>
      </c>
      <c r="D1403" s="62">
        <f t="shared" si="23"/>
        <v>189.05</v>
      </c>
    </row>
    <row r="1404" spans="2:4" x14ac:dyDescent="0.3">
      <c r="B1404" s="60" t="s">
        <v>1357</v>
      </c>
      <c r="C1404" s="60">
        <v>199</v>
      </c>
      <c r="D1404" s="62">
        <f t="shared" si="23"/>
        <v>189.05</v>
      </c>
    </row>
    <row r="1405" spans="2:4" x14ac:dyDescent="0.3">
      <c r="B1405" s="60" t="s">
        <v>1358</v>
      </c>
      <c r="C1405" s="60">
        <v>499</v>
      </c>
      <c r="D1405" s="62">
        <f t="shared" si="23"/>
        <v>474.05</v>
      </c>
    </row>
    <row r="1406" spans="2:4" x14ac:dyDescent="0.3">
      <c r="B1406" s="60" t="s">
        <v>1359</v>
      </c>
      <c r="C1406" s="60">
        <v>299</v>
      </c>
      <c r="D1406" s="62">
        <f t="shared" si="23"/>
        <v>284.05</v>
      </c>
    </row>
    <row r="1407" spans="2:4" x14ac:dyDescent="0.3">
      <c r="B1407" s="60" t="s">
        <v>1360</v>
      </c>
      <c r="C1407" s="60">
        <v>399</v>
      </c>
      <c r="D1407" s="62">
        <f t="shared" si="23"/>
        <v>379.05</v>
      </c>
    </row>
    <row r="1408" spans="2:4" x14ac:dyDescent="0.3">
      <c r="B1408" s="60" t="s">
        <v>1361</v>
      </c>
      <c r="C1408" s="60">
        <v>299</v>
      </c>
      <c r="D1408" s="62">
        <f t="shared" si="23"/>
        <v>284.05</v>
      </c>
    </row>
    <row r="1409" spans="2:4" x14ac:dyDescent="0.3">
      <c r="B1409" s="60" t="s">
        <v>1362</v>
      </c>
      <c r="C1409" s="60">
        <v>299</v>
      </c>
      <c r="D1409" s="62">
        <f t="shared" si="23"/>
        <v>284.05</v>
      </c>
    </row>
    <row r="1410" spans="2:4" x14ac:dyDescent="0.3">
      <c r="B1410" s="60" t="s">
        <v>1363</v>
      </c>
      <c r="C1410" s="60">
        <v>199</v>
      </c>
      <c r="D1410" s="62">
        <f t="shared" si="23"/>
        <v>189.05</v>
      </c>
    </row>
    <row r="1411" spans="2:4" x14ac:dyDescent="0.3">
      <c r="B1411" s="60" t="s">
        <v>1364</v>
      </c>
      <c r="C1411" s="60">
        <v>249</v>
      </c>
      <c r="D1411" s="62">
        <f t="shared" si="23"/>
        <v>236.55</v>
      </c>
    </row>
    <row r="1412" spans="2:4" x14ac:dyDescent="0.3">
      <c r="B1412" s="60" t="s">
        <v>1365</v>
      </c>
      <c r="C1412" s="60">
        <v>549</v>
      </c>
      <c r="D1412" s="62">
        <f t="shared" si="23"/>
        <v>521.54999999999995</v>
      </c>
    </row>
    <row r="1413" spans="2:4" x14ac:dyDescent="0.3">
      <c r="B1413" s="60" t="s">
        <v>1366</v>
      </c>
      <c r="C1413" s="60">
        <v>329</v>
      </c>
      <c r="D1413" s="62">
        <f t="shared" si="23"/>
        <v>312.55</v>
      </c>
    </row>
    <row r="1414" spans="2:4" x14ac:dyDescent="0.3">
      <c r="B1414" s="60" t="s">
        <v>1367</v>
      </c>
      <c r="C1414" s="60">
        <v>249</v>
      </c>
      <c r="D1414" s="62">
        <f t="shared" si="23"/>
        <v>236.55</v>
      </c>
    </row>
    <row r="1415" spans="2:4" x14ac:dyDescent="0.3">
      <c r="B1415" s="60" t="s">
        <v>1368</v>
      </c>
      <c r="C1415" s="60">
        <v>349</v>
      </c>
      <c r="D1415" s="62">
        <f t="shared" si="23"/>
        <v>331.55</v>
      </c>
    </row>
    <row r="1416" spans="2:4" x14ac:dyDescent="0.3">
      <c r="B1416" s="60" t="s">
        <v>1369</v>
      </c>
      <c r="C1416" s="60">
        <v>249</v>
      </c>
      <c r="D1416" s="62">
        <f t="shared" si="23"/>
        <v>236.55</v>
      </c>
    </row>
    <row r="1417" spans="2:4" x14ac:dyDescent="0.3">
      <c r="B1417" s="60" t="s">
        <v>1370</v>
      </c>
      <c r="C1417" s="60">
        <v>299</v>
      </c>
      <c r="D1417" s="62">
        <f t="shared" si="23"/>
        <v>284.05</v>
      </c>
    </row>
    <row r="1418" spans="2:4" x14ac:dyDescent="0.3">
      <c r="B1418" s="60" t="s">
        <v>1371</v>
      </c>
      <c r="C1418" s="60">
        <v>299</v>
      </c>
      <c r="D1418" s="62">
        <f t="shared" si="23"/>
        <v>284.05</v>
      </c>
    </row>
    <row r="1419" spans="2:4" x14ac:dyDescent="0.3">
      <c r="B1419" s="60" t="s">
        <v>1372</v>
      </c>
      <c r="C1419" s="60">
        <v>249</v>
      </c>
      <c r="D1419" s="62">
        <f t="shared" si="23"/>
        <v>236.55</v>
      </c>
    </row>
    <row r="1420" spans="2:4" x14ac:dyDescent="0.3">
      <c r="B1420" s="60" t="s">
        <v>1373</v>
      </c>
      <c r="C1420" s="60">
        <v>799</v>
      </c>
      <c r="D1420" s="62">
        <f t="shared" si="23"/>
        <v>759.05</v>
      </c>
    </row>
    <row r="1421" spans="2:4" x14ac:dyDescent="0.3">
      <c r="B1421" s="60" t="s">
        <v>1374</v>
      </c>
      <c r="C1421" s="60">
        <v>249</v>
      </c>
      <c r="D1421" s="62">
        <f t="shared" si="23"/>
        <v>236.55</v>
      </c>
    </row>
    <row r="1422" spans="2:4" x14ac:dyDescent="0.3">
      <c r="B1422" s="60" t="s">
        <v>1375</v>
      </c>
      <c r="C1422" s="60">
        <v>499</v>
      </c>
      <c r="D1422" s="62">
        <f t="shared" si="23"/>
        <v>474.05</v>
      </c>
    </row>
    <row r="1423" spans="2:4" x14ac:dyDescent="0.3">
      <c r="B1423" s="60" t="s">
        <v>1376</v>
      </c>
      <c r="C1423" s="60">
        <v>599</v>
      </c>
      <c r="D1423" s="62">
        <f t="shared" si="23"/>
        <v>569.04999999999995</v>
      </c>
    </row>
    <row r="1424" spans="2:4" x14ac:dyDescent="0.3">
      <c r="B1424" s="60" t="s">
        <v>1377</v>
      </c>
      <c r="C1424" s="60">
        <v>499</v>
      </c>
      <c r="D1424" s="62">
        <f t="shared" si="23"/>
        <v>474.05</v>
      </c>
    </row>
    <row r="1425" spans="2:4" x14ac:dyDescent="0.3">
      <c r="B1425" s="60" t="s">
        <v>1378</v>
      </c>
      <c r="C1425" s="60">
        <v>499</v>
      </c>
      <c r="D1425" s="62">
        <f t="shared" si="23"/>
        <v>474.05</v>
      </c>
    </row>
    <row r="1426" spans="2:4" x14ac:dyDescent="0.3">
      <c r="B1426" s="60" t="s">
        <v>1379</v>
      </c>
      <c r="C1426" s="60">
        <v>349</v>
      </c>
      <c r="D1426" s="62">
        <f t="shared" si="23"/>
        <v>331.55</v>
      </c>
    </row>
    <row r="1427" spans="2:4" x14ac:dyDescent="0.3">
      <c r="B1427" s="60" t="s">
        <v>1380</v>
      </c>
      <c r="C1427" s="60">
        <v>499</v>
      </c>
      <c r="D1427" s="62">
        <f t="shared" si="23"/>
        <v>474.05</v>
      </c>
    </row>
    <row r="1428" spans="2:4" x14ac:dyDescent="0.3">
      <c r="B1428" s="60" t="s">
        <v>1381</v>
      </c>
      <c r="C1428" s="60">
        <v>299</v>
      </c>
      <c r="D1428" s="62">
        <f t="shared" si="23"/>
        <v>284.05</v>
      </c>
    </row>
    <row r="1429" spans="2:4" x14ac:dyDescent="0.3">
      <c r="B1429" s="60" t="s">
        <v>1382</v>
      </c>
      <c r="C1429" s="60">
        <v>99</v>
      </c>
      <c r="D1429" s="62">
        <f t="shared" si="23"/>
        <v>94.05</v>
      </c>
    </row>
    <row r="1430" spans="2:4" x14ac:dyDescent="0.3">
      <c r="B1430" s="60" t="s">
        <v>1383</v>
      </c>
      <c r="C1430" s="60">
        <v>99</v>
      </c>
      <c r="D1430" s="62">
        <f t="shared" si="23"/>
        <v>94.05</v>
      </c>
    </row>
    <row r="1431" spans="2:4" x14ac:dyDescent="0.3">
      <c r="B1431" s="60" t="s">
        <v>1384</v>
      </c>
      <c r="C1431" s="60">
        <v>149</v>
      </c>
      <c r="D1431" s="62">
        <f t="shared" si="23"/>
        <v>141.55000000000001</v>
      </c>
    </row>
    <row r="1432" spans="2:4" x14ac:dyDescent="0.3">
      <c r="B1432" s="60" t="s">
        <v>1385</v>
      </c>
      <c r="C1432" s="60">
        <v>199</v>
      </c>
      <c r="D1432" s="62">
        <f t="shared" si="23"/>
        <v>189.05</v>
      </c>
    </row>
    <row r="1433" spans="2:4" x14ac:dyDescent="0.3">
      <c r="B1433" s="60"/>
      <c r="C1433" s="60"/>
    </row>
    <row r="1434" spans="2:4" x14ac:dyDescent="0.3">
      <c r="B1434" s="60"/>
      <c r="C1434" s="60"/>
    </row>
    <row r="1435" spans="2:4" x14ac:dyDescent="0.3">
      <c r="B1435" s="60"/>
      <c r="C1435" s="60"/>
    </row>
    <row r="1436" spans="2:4" x14ac:dyDescent="0.3">
      <c r="B1436" s="60"/>
      <c r="C1436" s="60"/>
    </row>
    <row r="1437" spans="2:4" x14ac:dyDescent="0.3">
      <c r="B1437" s="60"/>
      <c r="C1437" s="60"/>
    </row>
    <row r="1438" spans="2:4" x14ac:dyDescent="0.3">
      <c r="B1438" s="60"/>
      <c r="C1438" s="60"/>
    </row>
    <row r="1439" spans="2:4" x14ac:dyDescent="0.3">
      <c r="B1439" s="60"/>
      <c r="C1439" s="60"/>
    </row>
    <row r="1440" spans="2:4" x14ac:dyDescent="0.3">
      <c r="B1440" s="60"/>
      <c r="C1440" s="60"/>
    </row>
    <row r="1441" spans="2:3" x14ac:dyDescent="0.3">
      <c r="B1441" s="60"/>
      <c r="C1441" s="60"/>
    </row>
    <row r="1442" spans="2:3" x14ac:dyDescent="0.3">
      <c r="B1442" s="60"/>
      <c r="C1442" s="60"/>
    </row>
    <row r="1443" spans="2:3" x14ac:dyDescent="0.3">
      <c r="B1443" s="60"/>
      <c r="C1443" s="60"/>
    </row>
    <row r="1444" spans="2:3" x14ac:dyDescent="0.3">
      <c r="B1444" s="60"/>
      <c r="C1444" s="60"/>
    </row>
    <row r="1445" spans="2:3" x14ac:dyDescent="0.3">
      <c r="B1445" s="60"/>
      <c r="C1445" s="60"/>
    </row>
    <row r="1446" spans="2:3" x14ac:dyDescent="0.3">
      <c r="B1446" s="60"/>
      <c r="C1446" s="60"/>
    </row>
    <row r="1447" spans="2:3" x14ac:dyDescent="0.3">
      <c r="B1447" s="60"/>
      <c r="C1447" s="60"/>
    </row>
    <row r="1448" spans="2:3" x14ac:dyDescent="0.3">
      <c r="B1448" s="60"/>
      <c r="C1448" s="60"/>
    </row>
    <row r="1449" spans="2:3" x14ac:dyDescent="0.3">
      <c r="B1449" s="60"/>
      <c r="C1449" s="60"/>
    </row>
    <row r="1450" spans="2:3" x14ac:dyDescent="0.3">
      <c r="B1450" s="60"/>
      <c r="C1450" s="60"/>
    </row>
    <row r="1451" spans="2:3" x14ac:dyDescent="0.3">
      <c r="B1451" s="60"/>
      <c r="C1451" s="60"/>
    </row>
    <row r="1452" spans="2:3" x14ac:dyDescent="0.3">
      <c r="B1452" s="60"/>
      <c r="C1452" s="60"/>
    </row>
    <row r="1453" spans="2:3" x14ac:dyDescent="0.3">
      <c r="B1453" s="60"/>
      <c r="C1453" s="60"/>
    </row>
    <row r="1454" spans="2:3" x14ac:dyDescent="0.3">
      <c r="B1454" s="60"/>
      <c r="C1454" s="60"/>
    </row>
    <row r="1455" spans="2:3" x14ac:dyDescent="0.3">
      <c r="B1455" s="60"/>
      <c r="C1455" s="60"/>
    </row>
    <row r="1456" spans="2:3" x14ac:dyDescent="0.3">
      <c r="B1456" s="60"/>
      <c r="C1456" s="60"/>
    </row>
    <row r="1457" spans="2:3" x14ac:dyDescent="0.3">
      <c r="B1457" s="60"/>
      <c r="C1457" s="60"/>
    </row>
    <row r="1458" spans="2:3" x14ac:dyDescent="0.3">
      <c r="B1458" s="60"/>
      <c r="C1458" s="60"/>
    </row>
    <row r="1459" spans="2:3" x14ac:dyDescent="0.3">
      <c r="B1459" s="60"/>
      <c r="C1459" s="60"/>
    </row>
    <row r="1460" spans="2:3" x14ac:dyDescent="0.3">
      <c r="B1460" s="60"/>
      <c r="C1460" s="60"/>
    </row>
    <row r="1461" spans="2:3" x14ac:dyDescent="0.3">
      <c r="B1461" s="60"/>
      <c r="C1461" s="60"/>
    </row>
    <row r="1462" spans="2:3" x14ac:dyDescent="0.3">
      <c r="B1462" s="60"/>
      <c r="C1462" s="60"/>
    </row>
    <row r="1463" spans="2:3" x14ac:dyDescent="0.3">
      <c r="B1463" s="60"/>
      <c r="C1463" s="60"/>
    </row>
    <row r="1464" spans="2:3" x14ac:dyDescent="0.3">
      <c r="B1464" s="60"/>
      <c r="C1464" s="60"/>
    </row>
    <row r="1465" spans="2:3" x14ac:dyDescent="0.3">
      <c r="B1465" s="60"/>
      <c r="C1465" s="60"/>
    </row>
    <row r="1466" spans="2:3" x14ac:dyDescent="0.3">
      <c r="B1466" s="60"/>
      <c r="C1466" s="60"/>
    </row>
    <row r="1467" spans="2:3" x14ac:dyDescent="0.3">
      <c r="B1467" s="60"/>
      <c r="C1467" s="60"/>
    </row>
    <row r="1468" spans="2:3" x14ac:dyDescent="0.3">
      <c r="B1468" s="60"/>
      <c r="C1468" s="60"/>
    </row>
    <row r="1469" spans="2:3" x14ac:dyDescent="0.3">
      <c r="B1469" s="60"/>
      <c r="C1469" s="60"/>
    </row>
    <row r="1470" spans="2:3" x14ac:dyDescent="0.3">
      <c r="B1470" s="60"/>
      <c r="C1470" s="60"/>
    </row>
    <row r="1471" spans="2:3" x14ac:dyDescent="0.3">
      <c r="B1471" s="60"/>
      <c r="C1471" s="60"/>
    </row>
    <row r="1472" spans="2:3" x14ac:dyDescent="0.3">
      <c r="B1472" s="60"/>
      <c r="C1472" s="60"/>
    </row>
    <row r="1473" spans="2:3" x14ac:dyDescent="0.3">
      <c r="B1473" s="60"/>
      <c r="C1473" s="60"/>
    </row>
    <row r="1474" spans="2:3" x14ac:dyDescent="0.3">
      <c r="B1474" s="60"/>
      <c r="C1474" s="60"/>
    </row>
    <row r="1475" spans="2:3" x14ac:dyDescent="0.3">
      <c r="B1475" s="60"/>
      <c r="C1475" s="60"/>
    </row>
    <row r="1476" spans="2:3" x14ac:dyDescent="0.3">
      <c r="B1476" s="60"/>
      <c r="C1476" s="60"/>
    </row>
    <row r="1477" spans="2:3" x14ac:dyDescent="0.3">
      <c r="B1477" s="60"/>
      <c r="C1477" s="60"/>
    </row>
    <row r="1478" spans="2:3" x14ac:dyDescent="0.3">
      <c r="B1478" s="60"/>
      <c r="C1478" s="60"/>
    </row>
    <row r="1479" spans="2:3" x14ac:dyDescent="0.3">
      <c r="B1479" s="60"/>
      <c r="C1479" s="60"/>
    </row>
    <row r="1480" spans="2:3" x14ac:dyDescent="0.3">
      <c r="B1480" s="60"/>
      <c r="C1480" s="60"/>
    </row>
    <row r="1481" spans="2:3" x14ac:dyDescent="0.3">
      <c r="B1481" s="60"/>
      <c r="C1481" s="60"/>
    </row>
    <row r="1482" spans="2:3" x14ac:dyDescent="0.3">
      <c r="B1482" s="60"/>
      <c r="C1482" s="60"/>
    </row>
    <row r="1483" spans="2:3" x14ac:dyDescent="0.3">
      <c r="B1483" s="60"/>
      <c r="C1483" s="60"/>
    </row>
    <row r="1484" spans="2:3" x14ac:dyDescent="0.3">
      <c r="B1484" s="60"/>
      <c r="C1484" s="60"/>
    </row>
    <row r="1485" spans="2:3" x14ac:dyDescent="0.3">
      <c r="B1485" s="60"/>
      <c r="C1485" s="60"/>
    </row>
    <row r="1486" spans="2:3" x14ac:dyDescent="0.3">
      <c r="B1486" s="60"/>
      <c r="C1486" s="60"/>
    </row>
    <row r="1487" spans="2:3" x14ac:dyDescent="0.3">
      <c r="B1487" s="60"/>
      <c r="C1487" s="60"/>
    </row>
    <row r="1488" spans="2:3" x14ac:dyDescent="0.3">
      <c r="B1488" s="60"/>
      <c r="C1488" s="60"/>
    </row>
    <row r="1489" spans="2:3" x14ac:dyDescent="0.3">
      <c r="B1489" s="60"/>
      <c r="C1489" s="60"/>
    </row>
    <row r="1490" spans="2:3" x14ac:dyDescent="0.3">
      <c r="B1490" s="60"/>
      <c r="C1490" s="60"/>
    </row>
    <row r="1491" spans="2:3" x14ac:dyDescent="0.3">
      <c r="B1491" s="60"/>
      <c r="C1491" s="60"/>
    </row>
    <row r="1492" spans="2:3" x14ac:dyDescent="0.3">
      <c r="B1492" s="60"/>
      <c r="C1492" s="60"/>
    </row>
    <row r="1493" spans="2:3" x14ac:dyDescent="0.3">
      <c r="B1493" s="60"/>
      <c r="C1493" s="60"/>
    </row>
    <row r="1494" spans="2:3" x14ac:dyDescent="0.3">
      <c r="B1494" s="60"/>
      <c r="C1494" s="60"/>
    </row>
    <row r="1495" spans="2:3" x14ac:dyDescent="0.3">
      <c r="B1495" s="60"/>
      <c r="C1495" s="60"/>
    </row>
    <row r="1496" spans="2:3" x14ac:dyDescent="0.3">
      <c r="B1496" s="60"/>
      <c r="C1496" s="60"/>
    </row>
    <row r="1497" spans="2:3" x14ac:dyDescent="0.3">
      <c r="B1497" s="60"/>
      <c r="C1497" s="60"/>
    </row>
    <row r="1498" spans="2:3" x14ac:dyDescent="0.3">
      <c r="B1498" s="60"/>
      <c r="C1498" s="60"/>
    </row>
    <row r="1499" spans="2:3" x14ac:dyDescent="0.3">
      <c r="B1499" s="60"/>
      <c r="C1499" s="60"/>
    </row>
    <row r="1500" spans="2:3" x14ac:dyDescent="0.3">
      <c r="B1500" s="60"/>
      <c r="C1500" s="60"/>
    </row>
    <row r="1501" spans="2:3" x14ac:dyDescent="0.3">
      <c r="B1501" s="60"/>
      <c r="C1501" s="60"/>
    </row>
    <row r="1502" spans="2:3" x14ac:dyDescent="0.3">
      <c r="B1502" s="60"/>
      <c r="C1502" s="60"/>
    </row>
    <row r="1503" spans="2:3" x14ac:dyDescent="0.3">
      <c r="B1503" s="60"/>
      <c r="C1503" s="60"/>
    </row>
    <row r="1504" spans="2:3" x14ac:dyDescent="0.3">
      <c r="B1504" s="60"/>
      <c r="C1504" s="60"/>
    </row>
    <row r="1505" spans="2:3" x14ac:dyDescent="0.3">
      <c r="B1505" s="60"/>
      <c r="C1505" s="60"/>
    </row>
    <row r="1506" spans="2:3" x14ac:dyDescent="0.3">
      <c r="B1506" s="60"/>
      <c r="C1506" s="60"/>
    </row>
    <row r="1507" spans="2:3" x14ac:dyDescent="0.3">
      <c r="B1507" s="60"/>
      <c r="C1507" s="60"/>
    </row>
    <row r="1508" spans="2:3" x14ac:dyDescent="0.3">
      <c r="B1508" s="60"/>
      <c r="C1508" s="60"/>
    </row>
    <row r="1509" spans="2:3" x14ac:dyDescent="0.3">
      <c r="B1509" s="60"/>
      <c r="C1509" s="60"/>
    </row>
    <row r="1510" spans="2:3" x14ac:dyDescent="0.3">
      <c r="B1510" s="60"/>
      <c r="C1510" s="60"/>
    </row>
    <row r="1511" spans="2:3" x14ac:dyDescent="0.3">
      <c r="B1511" s="60"/>
      <c r="C1511" s="60"/>
    </row>
    <row r="1512" spans="2:3" x14ac:dyDescent="0.3">
      <c r="B1512" s="60"/>
      <c r="C1512" s="60"/>
    </row>
    <row r="1513" spans="2:3" x14ac:dyDescent="0.3">
      <c r="B1513" s="60"/>
      <c r="C1513" s="60"/>
    </row>
    <row r="1514" spans="2:3" x14ac:dyDescent="0.3">
      <c r="B1514" s="60"/>
      <c r="C1514" s="60"/>
    </row>
    <row r="1515" spans="2:3" x14ac:dyDescent="0.3">
      <c r="B1515" s="60"/>
      <c r="C1515" s="60"/>
    </row>
    <row r="1516" spans="2:3" x14ac:dyDescent="0.3">
      <c r="B1516" s="60"/>
      <c r="C1516" s="60"/>
    </row>
    <row r="1517" spans="2:3" x14ac:dyDescent="0.3">
      <c r="B1517" s="60"/>
      <c r="C1517" s="60"/>
    </row>
  </sheetData>
  <phoneticPr fontId="16" type="noConversion"/>
  <pageMargins left="0.7" right="0.7" top="0.75" bottom="0.75" header="0.3" footer="0.3"/>
  <pageSetup paperSize="256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InvoicePage</vt:lpstr>
      <vt:lpstr>CancelBill</vt:lpstr>
      <vt:lpstr>Lookup</vt:lpstr>
      <vt:lpstr>Company_Name</vt:lpstr>
      <vt:lpstr>Discount</vt:lpstr>
      <vt:lpstr>Final</vt:lpstr>
      <vt:lpstr>Payment</vt:lpstr>
      <vt:lpstr>InvoicePage!Print_Area</vt:lpstr>
      <vt:lpstr>Quantity</vt:lpstr>
      <vt:lpstr>Total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Sri Manikandan</dc:creator>
  <cp:keywords/>
  <dc:description/>
  <cp:lastModifiedBy>Sri Manikandan</cp:lastModifiedBy>
  <cp:revision/>
  <cp:lastPrinted>2022-06-20T06:13:15Z</cp:lastPrinted>
  <dcterms:created xsi:type="dcterms:W3CDTF">2017-05-01T05:34:31Z</dcterms:created>
  <dcterms:modified xsi:type="dcterms:W3CDTF">2022-06-20T07:46:05Z</dcterms:modified>
  <cp:category/>
  <cp:contentStatus/>
</cp:coreProperties>
</file>